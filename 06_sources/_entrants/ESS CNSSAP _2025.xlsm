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7A2D7E96-6E34-419A-AE5F-296B3A7E7977}"/>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_entrants/"/>
    </mc:Choice>
  </mc:AlternateContent>
  <xr:revisionPtr revIDLastSave="0" documentId="8_{5974778D-2561-47AC-AE03-19C833503193}" xr6:coauthVersionLast="47" xr6:coauthVersionMax="47" xr10:uidLastSave="{00000000-0000-0000-0000-000000000000}"/>
  <bookViews>
    <workbookView xWindow="28680" yWindow="-7905"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270" l="1"/>
  <c r="AA9" i="9"/>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H6" authorId="0" shapeId="0" xr:uid="{3BE5D470-645B-4849-A4E7-A455AAD5D347}">
      <text>
        <r>
          <rPr>
            <b/>
            <sz val="9"/>
            <color indexed="81"/>
            <rFont val="Tahoma"/>
            <family val="2"/>
          </rPr>
          <t>user:</t>
        </r>
        <r>
          <rPr>
            <sz val="9"/>
            <color indexed="81"/>
            <rFont val="Tahoma"/>
            <family val="2"/>
          </rPr>
          <t xml:space="preserve">
C</t>
        </r>
        <r>
          <rPr>
            <sz val="9"/>
            <color indexed="81"/>
            <rFont val="Garamond"/>
            <family val="1"/>
          </rPr>
          <t>harges administraves globales pour tous les régimes et branches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Z5" authorId="0" shapeId="0" xr:uid="{B2BF7FCA-8413-45F0-8B44-087EB692A4D9}">
      <text>
        <r>
          <rPr>
            <b/>
            <sz val="9"/>
            <color indexed="81"/>
            <rFont val="Tahoma"/>
            <family val="2"/>
          </rPr>
          <t>user:</t>
        </r>
        <r>
          <rPr>
            <sz val="9"/>
            <color indexed="81"/>
            <rFont val="Tahoma"/>
            <family val="2"/>
          </rPr>
          <t xml:space="preserve">
Total pensions de retraite sans frais administratifs</t>
        </r>
      </text>
    </comment>
    <comment ref="Z6" authorId="0" shapeId="0" xr:uid="{015DFCA0-54A3-4625-8B18-FC1D04838F38}">
      <text>
        <r>
          <rPr>
            <b/>
            <sz val="9"/>
            <color indexed="81"/>
            <rFont val="Tahoma"/>
            <family val="2"/>
          </rPr>
          <t>user:</t>
        </r>
        <r>
          <rPr>
            <sz val="9"/>
            <color indexed="81"/>
            <rFont val="Tahoma"/>
            <family val="2"/>
          </rPr>
          <t xml:space="preserve">
Total rente de survie sans frais administratifs,</t>
        </r>
      </text>
    </comment>
    <comment ref="Z7" authorId="0" shapeId="0" xr:uid="{74EEF003-5C42-43F9-8CBB-842435983029}">
      <text>
        <r>
          <rPr>
            <b/>
            <sz val="9"/>
            <color indexed="81"/>
            <rFont val="Tahoma"/>
            <family val="2"/>
          </rPr>
          <t>user:</t>
        </r>
        <r>
          <rPr>
            <sz val="9"/>
            <color indexed="81"/>
            <rFont val="Tahoma"/>
            <family val="2"/>
          </rPr>
          <t xml:space="preserve">
Total rente de survie sans frais administratifs,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<sst xmlns="http://schemas.openxmlformats.org/spreadsheetml/2006/main" count="3188" uniqueCount="548">
  <si>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</si>
  <si>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</si>
  <si>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</si>
  <si>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</si>
  <si>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</si>
  <si>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</si>
  <si>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</si>
  <si>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</si>
  <si>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</si>
  <si>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</si>
  <si>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</si>
  <si>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</si>
  <si>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</si>
  <si>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</si>
  <si>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</si>
  <si>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</si>
  <si>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</si>
  <si>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</si>
  <si>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</si>
  <si>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</si>
  <si>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</si>
  <si>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</si>
  <si>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</si>
  <si>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</si>
  <si>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</si>
  <si>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</si>
  <si>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</si>
  <si>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</si>
  <si>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</si>
  <si>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</si>
  <si>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</si>
  <si>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</si>
  <si>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</si>
  <si>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</si>
  <si>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</si>
  <si>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</si>
  <si>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</si>
  <si>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</si>
  <si>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</si>
  <si>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</si>
  <si>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</si>
  <si>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</si>
  <si>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</si>
  <si>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</si>
  <si>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</si>
  <si>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</si>
  <si>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</si>
  <si>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</si>
  <si>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</si>
  <si>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</si>
  <si>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</si>
  <si>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</si>
  <si>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</si>
  <si>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</si>
  <si>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</si>
  <si>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</si>
  <si>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</si>
  <si>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</si>
  <si>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</si>
  <si>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</si>
  <si>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</si>
  <si>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</si>
  <si>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</si>
  <si>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</si>
  <si>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</si>
  <si>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</si>
  <si>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</si>
  <si>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</si>
  <si>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</si>
  <si>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</si>
  <si>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</si>
  <si>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</si>
  <si>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</si>
  <si>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</si>
  <si>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</si>
  <si>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</si>
  <si>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</si>
  <si>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</si>
  <si>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</si>
  <si>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</si>
  <si>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</si>
  <si>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</si>
  <si>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</si>
  <si>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</si>
  <si>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</si>
  <si>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</si>
  <si>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</si>
  <si>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</si>
  <si>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</si>
  <si>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</si>
  <si>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</si>
  <si>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</si>
  <si>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</si>
  <si>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</si>
  <si>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</si>
  <si>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</si>
  <si>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</si>
  <si>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</si>
  <si>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</si>
  <si>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</si>
  <si>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</si>
  <si>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</si>
  <si>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</si>
  <si>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</si>
  <si>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</si>
  <si>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</si>
  <si>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</si>
  <si>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</si>
  <si>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</si>
  <si>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</si>
  <si>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</si>
  <si>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</si>
  <si>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</si>
  <si>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</si>
  <si>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</si>
  <si>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</si>
  <si>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</si>
  <si>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</si>
  <si>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</si>
  <si>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</si>
  <si>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</si>
  <si>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</si>
  <si>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</si>
  <si>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</si>
  <si>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</si>
  <si>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</si>
  <si>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</si>
  <si>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</si>
  <si>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</si>
  <si>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</si>
  <si>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</si>
  <si>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</si>
  <si>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</si>
  <si>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</si>
  <si>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</si>
  <si>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</si>
  <si>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</si>
  <si>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</si>
  <si>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</si>
  <si>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</si>
  <si>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</si>
  <si>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</si>
  <si>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</si>
  <si>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</si>
  <si>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</si>
  <si>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</si>
  <si>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</si>
  <si>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</si>
  <si>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</si>
  <si>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</si>
  <si>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</si>
  <si>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</si>
  <si>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</si>
  <si>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</si>
  <si>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</si>
  <si>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</si>
  <si>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</si>
  <si>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</si>
  <si>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</si>
  <si>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</si>
  <si>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</si>
  <si>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</si>
  <si>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</si>
  <si>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</si>
  <si>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</si>
  <si>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</si>
  <si>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</si>
  <si>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</si>
  <si>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</si>
  <si>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</si>
  <si>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</si>
  <si>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</si>
  <si>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</si>
  <si>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</si>
  <si>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</si>
  <si>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</si>
  <si>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</si>
  <si>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</si>
  <si>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</si>
  <si>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</si>
  <si>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</si>
  <si>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</si>
  <si>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</si>
  <si>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</si>
  <si>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</si>
  <si>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</si>
  <si>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</si>
  <si>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</si>
  <si>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</si>
  <si>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</si>
  <si>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</si>
  <si>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</si>
  <si>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</si>
  <si>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</si>
  <si>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</si>
  <si>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</si>
  <si>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</si>
  <si>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</si>
  <si>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</si>
  <si>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</si>
  <si>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</si>
  <si>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</si>
  <si>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</si>
  <si>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</si>
  <si>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</si>
  <si>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</si>
  <si>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</si>
  <si>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</si>
  <si>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</si>
  <si>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</si>
  <si>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</si>
  <si>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</si>
  <si>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</si>
  <si>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</si>
  <si>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</si>
  <si>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</si>
  <si>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</si>
  <si>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</si>
  <si>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</si>
  <si>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</si>
  <si>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</si>
  <si>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</si>
  <si>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</si>
  <si>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</si>
  <si>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</si>
  <si>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</si>
  <si>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</si>
  <si>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</si>
  <si>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</si>
  <si>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</si>
  <si>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</si>
  <si>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</si>
  <si>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</si>
  <si>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</si>
  <si>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</si>
  <si>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</si>
  <si>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</si>
  <si>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</si>
  <si>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</si>
  <si>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</si>
  <si>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</si>
  <si>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</si>
  <si>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</si>
  <si>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</si>
  <si>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</si>
  <si>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</si>
  <si>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</si>
  <si>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</si>
  <si>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</si>
  <si>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</si>
  <si>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</si>
  <si>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</si>
  <si>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</si>
  <si>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</si>
  <si>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</si>
  <si>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</si>
  <si>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</si>
  <si>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</si>
  <si>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</si>
  <si>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</si>
  <si>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</si>
  <si>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</si>
  <si>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</si>
  <si>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</si>
  <si>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</si>
  <si>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</si>
  <si>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</si>
  <si>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</si>
  <si>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</si>
  <si>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</si>
  <si>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</si>
  <si>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</si>
  <si>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</si>
  <si>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</si>
  <si>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</si>
  <si>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</si>
  <si>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</si>
  <si>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</si>
  <si>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</si>
  <si>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</si>
  <si>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</si>
  <si>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</si>
  <si>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</si>
  <si>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</si>
  <si>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</si>
  <si>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</si>
  <si>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</si>
  <si>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</si>
  <si>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</si>
  <si>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</si>
  <si>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</si>
  <si>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</si>
  <si>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</si>
  <si>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</si>
  <si>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</si>
  <si>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</si>
  <si>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</si>
  <si>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</si>
  <si>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</si>
  <si>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</si>
  <si>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</si>
  <si>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</si>
  <si>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</si>
  <si>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</si>
  <si>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</si>
  <si>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</si>
  <si>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</si>
  <si>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</si>
  <si>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</si>
  <si>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</si>
  <si>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</si>
  <si>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</si>
  <si>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</si>
  <si>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</si>
  <si>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</si>
  <si>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</si>
  <si>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</si>
  <si>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</si>
  <si>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</si>
  <si>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</si>
  <si>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</si>
  <si>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</si>
  <si>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</si>
  <si>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</si>
  <si>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</si>
  <si>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</si>
  <si>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</si>
  <si>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</si>
  <si>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</si>
  <si>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</si>
  <si>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</si>
  <si>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</si>
  <si>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</si>
  <si>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</si>
  <si>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</si>
  <si>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</si>
  <si>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</si>
  <si>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</si>
  <si>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</si>
  <si>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</si>
  <si>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</si>
  <si>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</si>
  <si>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</si>
  <si>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</si>
  <si>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</si>
  <si>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</si>
  <si>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</si>
  <si>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</si>
  <si>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</si>
  <si>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</si>
  <si>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</si>
  <si>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</si>
  <si>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</si>
  <si>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</si>
  <si>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</si>
  <si>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</si>
  <si>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</si>
  <si>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</si>
  <si>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</si>
  <si>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</si>
  <si>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</si>
  <si>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</si>
  <si>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</si>
  <si>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</si>
  <si>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</si>
  <si>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</si>
  <si>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</si>
  <si>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</si>
  <si>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</si>
  <si>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</si>
  <si>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</si>
  <si>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</si>
  <si>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</si>
  <si>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</si>
  <si>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</si>
  <si>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</si>
  <si>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</si>
  <si>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</si>
  <si>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</si>
  <si>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</si>
  <si>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</si>
  <si>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</si>
  <si>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</si>
  <si>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</si>
  <si>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</si>
  <si>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</si>
  <si>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</si>
  <si>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</si>
  <si>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</si>
  <si>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</si>
  <si>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</si>
  <si>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</si>
  <si>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</si>
  <si>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</si>
  <si>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</si>
  <si>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</si>
  <si>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</si>
  <si>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</si>
  <si>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</si>
  <si>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</si>
  <si>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</si>
  <si>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</si>
  <si>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</si>
  <si>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</si>
  <si>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</si>
  <si>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</si>
  <si>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</si>
  <si>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</si>
  <si>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</si>
  <si>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</si>
  <si>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</si>
  <si>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</si>
  <si>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</si>
  <si>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</si>
  <si>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</si>
  <si>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</si>
  <si>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</si>
  <si>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</si>
  <si>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</si>
  <si>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</si>
  <si>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</si>
  <si>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</si>
  <si>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</si>
  <si>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</si>
  <si>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</si>
  <si>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</si>
  <si>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</si>
  <si>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</si>
  <si>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</si>
  <si>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</si>
  <si>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</si>
  <si>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</si>
  <si>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</si>
  <si>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</si>
  <si>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</si>
  <si>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</si>
  <si>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</si>
  <si>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</si>
  <si>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</si>
  <si>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</si>
  <si>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</si>
  <si>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</si>
  <si>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</si>
  <si>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</si>
  <si>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</si>
  <si>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</si>
  <si>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</si>
  <si>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</si>
  <si>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</si>
  <si>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</si>
  <si>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</si>
  <si>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</si>
  <si>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</si>
  <si>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</si>
  <si>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</si>
  <si>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</si>
  <si>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</si>
  <si>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</si>
  <si>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</si>
  <si>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</si>
  <si>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</si>
  <si>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</si>
  <si>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</si>
  <si>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</si>
  <si>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</si>
  <si>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</si>
  <si>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</si>
  <si>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</si>
  <si>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</si>
  <si>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</si>
  <si>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</si>
  <si>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</si>
  <si>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</si>
  <si>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</si>
  <si>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</si>
  <si>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</si>
  <si>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</si>
  <si>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</si>
  <si>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</si>
  <si>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</si>
  <si>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</si>
  <si>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</si>
  <si>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</si>
  <si>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</si>
  <si>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</si>
  <si>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</si>
  <si>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</si>
  <si>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</si>
  <si>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</si>
  <si>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</si>
  <si>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</si>
  <si>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</si>
  <si>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</si>
  <si>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</si>
  <si>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</si>
  <si>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</si>
  <si>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</si>
  <si>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</si>
  <si>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</si>
  <si>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</si>
  <si>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</si>
  <si>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</si>
  <si>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</si>
  <si>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</si>
  <si>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</si>
  <si>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</si>
  <si>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</si>
  <si>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</si>
  <si>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</si>
  <si>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</si>
  <si>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</si>
  <si>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</si>
  <si>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</si>
  <si>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</si>
  <si>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</si>
  <si>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</si>
  <si>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</si>
  <si>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</si>
  <si>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</si>
  <si>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</si>
  <si>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</si>
  <si>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</si>
  <si>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</si>
  <si>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Régime de base</t>
  </si>
  <si>
    <t>Régime Complémentaire</t>
  </si>
  <si>
    <t xml:space="preserve">Risques professionnels </t>
  </si>
  <si>
    <t>CNSSAP</t>
  </si>
  <si>
    <t>RDC</t>
  </si>
  <si>
    <t>Pension de retraite</t>
  </si>
  <si>
    <t>Rente de survie au conjoint survivants</t>
  </si>
  <si>
    <t>Rente de survie pour l'orphelin</t>
  </si>
  <si>
    <t xml:space="preserve">Branche des Risques professionnels </t>
  </si>
  <si>
    <t xml:space="preserve">Réforme de Basculement </t>
  </si>
  <si>
    <t xml:space="preserve"> </t>
  </si>
  <si>
    <t>Les recettes comprennent uniquement les cotisations du régime,</t>
  </si>
  <si>
    <t>Les recettes comprennent uniquement les cotisations de la branche</t>
  </si>
  <si>
    <t>Les recettes comprennent uniquement les cotisations,</t>
  </si>
  <si>
    <t>15ans de stage</t>
  </si>
  <si>
    <t>65ans</t>
  </si>
  <si>
    <t xml:space="preserve"> 35ans de carrière</t>
  </si>
  <si>
    <t xml:space="preserve">Conjoint non rémarier </t>
  </si>
  <si>
    <t xml:space="preserve">Moins de 18ans </t>
  </si>
  <si>
    <t>Rapport annuel CNSSAP 2023</t>
  </si>
  <si>
    <t xml:space="preserve">La branche des risques professionnels ne compte pas des prestataires à ce jour car débuté au troisième trimestre 2023. Aucune pension n'est encore versée à ce jour. </t>
  </si>
  <si>
    <t xml:space="preserve">Le régime complémentaire ne compte pas des prestataires à ce jour car débuté au troisième trimestre 2023. Aucune pension n'est encore versée à ce jour. </t>
  </si>
  <si>
    <t xml:space="preserve">La rente de survie concerne les conjoints et orphélins des actifs et retraités décédé de la branche des pensions. </t>
  </si>
  <si>
    <t xml:space="preserve">65ans </t>
  </si>
  <si>
    <t xml:space="preserve">35ans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</si>
</sst>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0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9"/>
      <color indexed="81"/>
      <name val="Garamond"/>
      <family val="1"/>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7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3" fontId="21" fillId="5" borderId="12" xfId="0"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167" fontId="21" fillId="2" borderId="4" xfId="0" applyNumberFormat="1" applyFont="1" applyFill="1" applyBorder="1" applyAlignment="1" applyProtection="1">
      <alignment horizontal="right" vertical="top" wrapText="1"/>
      <protection locked="0"/>
    </xf>
    <xf numFmtId="4" fontId="21" fillId="17" borderId="6" xfId="0" applyNumberFormat="1" applyFont="1" applyFill="1" applyBorder="1" applyAlignment="1" applyProtection="1">
      <alignment horizontal="right" vertical="top" wrapText="1"/>
      <protection locked="0"/>
    </xf>
    <xf numFmtId="4" fontId="21" fillId="2" borderId="6" xfId="0" applyNumberFormat="1" applyFont="1" applyFill="1" applyBorder="1" applyAlignment="1" applyProtection="1">
      <alignment horizontal="right" vertical="top" wrapText="1"/>
      <protection locked="0"/>
    </xf>
    <xf numFmtId="4" fontId="26" fillId="0" borderId="6" xfId="0" applyNumberFormat="1" applyFont="1" applyBorder="1" applyAlignment="1">
      <alignment vertical="top"/>
    </xf>
    <xf numFmtId="4" fontId="26" fillId="0" borderId="0" xfId="0" applyNumberFormat="1" applyFont="1" applyAlignment="1">
      <alignment vertical="top"/>
    </xf>
    <xf numFmtId="49" fontId="21" fillId="7" borderId="3" xfId="0" applyNumberFormat="1" applyFont="1" applyFill="1" applyBorder="1" applyAlignment="1" applyProtection="1">
      <alignment horizontal="right" vertical="top" wrapText="1"/>
      <protection locked="0"/>
    </xf>
    <xf numFmtId="3" fontId="21" fillId="7" borderId="12" xfId="0" applyNumberFormat="1" applyFont="1" applyFill="1" applyBorder="1" applyAlignment="1" applyProtection="1">
      <alignment horizontal="right" vertical="top" wrapText="1"/>
      <protection locked="0"/>
    </xf>
    <xf numFmtId="3" fontId="21" fillId="9" borderId="3" xfId="0" applyNumberFormat="1" applyFont="1" applyFill="1" applyBorder="1" applyAlignment="1" applyProtection="1">
      <alignment horizontal="left" vertical="top" wrapText="1"/>
      <protection locked="0"/>
    </xf>
    <xf numFmtId="3" fontId="21" fillId="7" borderId="3" xfId="0" applyNumberFormat="1" applyFont="1" applyFill="1" applyBorder="1" applyAlignment="1" applyProtection="1">
      <alignment horizontal="left" vertical="top" wrapText="1"/>
      <protection locked="0"/>
    </xf>
    <xf numFmtId="3" fontId="21" fillId="5" borderId="8" xfId="1" applyNumberFormat="1" applyFont="1" applyFill="1" applyBorder="1" applyAlignment="1" applyProtection="1">
      <alignment vertical="center" wrapText="1"/>
      <protection locked="0"/>
    </xf>
    <xf numFmtId="3" fontId="21" fillId="9" borderId="12" xfId="0" applyNumberFormat="1" applyFont="1" applyFill="1" applyBorder="1" applyAlignment="1" applyProtection="1">
      <alignment horizontal="right" vertical="top" wrapText="1"/>
      <protection locked="0"/>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8" borderId="6" xfId="0" applyFont="1" applyFill="1" applyBorder="1" applyAlignment="1">
      <alignment horizontal="center"/>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3" fontId="21" fillId="5" borderId="8" xfId="1" applyNumberFormat="1" applyFont="1" applyFill="1" applyBorder="1" applyAlignment="1" applyProtection="1">
      <alignment vertical="center" wrapText="1"/>
      <protection locked="0"/>
    </xf>
    <xf numFmtId="3" fontId="21" fillId="5" borderId="13" xfId="1" applyNumberFormat="1" applyFont="1" applyFill="1" applyBorder="1" applyAlignment="1" applyProtection="1">
      <alignment vertical="center" wrapText="1"/>
      <protection locked="0"/>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49" fontId="21" fillId="19" borderId="3" xfId="0" applyNumberFormat="1" applyFont="1" applyFill="1" applyBorder="1" applyAlignment="1" applyProtection="1">
      <alignment horizontal="left" vertical="top" wrapText="1"/>
      <protection locked="0"/>
    </xf>
    <xf numFmtId="49" fontId="24" fillId="19" borderId="13" xfId="0" applyNumberFormat="1" applyFont="1" applyFill="1" applyBorder="1" applyAlignment="1" applyProtection="1">
      <alignment horizontal="left" vertical="top" wrapText="1"/>
      <protection locked="0"/>
    </xf>
    <xf numFmtId="3" fontId="21" fillId="19" borderId="8" xfId="0" applyNumberFormat="1" applyFont="1" applyFill="1" applyBorder="1" applyAlignment="1" applyProtection="1">
      <alignment vertical="center" wrapText="1"/>
      <protection locked="0"/>
    </xf>
    <xf numFmtId="3" fontId="21" fillId="19" borderId="8" xfId="0" applyNumberFormat="1" applyFont="1" applyFill="1" applyBorder="1" applyAlignment="1" applyProtection="1">
      <alignment vertical="top" wrapText="1"/>
      <protection locked="0"/>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4">
    <dxf>
      <fill>
        <patternFill>
          <bgColor theme="1"/>
        </patternFill>
      </fill>
      <border>
        <left style="thin">
          <color auto="1"/>
        </left>
        <right style="thin">
          <color auto="1"/>
        </right>
        <top style="thin">
          <color auto="1"/>
        </top>
        <bottom style="thin">
          <color auto="1"/>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82300"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6" dataDxfId="45" tableBorderDxfId="44">
  <autoFilter ref="A1:A4" xr:uid="{00000000-0009-0000-0100-000001000000}"/>
  <tableColumns count="1">
    <tableColumn id="1" xr3:uid="{00000000-0010-0000-0000-000001000000}" name="LIST_CNon" dataDxfId="43"/>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2" dataDxfId="41">
  <autoFilter ref="B1:B13" xr:uid="{00000000-0009-0000-0100-000002000000}"/>
  <tableColumns count="1">
    <tableColumn id="1" xr3:uid="{00000000-0010-0000-0100-000001000000}" name="LIST_Func" dataDxfId="40"/>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9" dataDxfId="38">
  <autoFilter ref="C1:C13" xr:uid="{00000000-0009-0000-0100-000003000000}"/>
  <tableColumns count="1">
    <tableColumn id="1" xr3:uid="{00000000-0010-0000-0200-000001000000}" name="LIST_PopGrp" dataDxfId="37"/>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6" dataDxfId="35">
  <autoFilter ref="D1:D5" xr:uid="{00000000-0009-0000-0100-000004000000}"/>
  <tableColumns count="1">
    <tableColumn id="1" xr3:uid="{00000000-0010-0000-0300-000001000000}" name="LIST_AgrGrp" dataDxfId="34"/>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3" dataDxfId="32">
  <autoFilter ref="E1:E4" xr:uid="{00000000-0009-0000-0100-000005000000}"/>
  <tableColumns count="1">
    <tableColumn id="1" xr3:uid="{00000000-0010-0000-0400-000001000000}" name="LIST_Area" dataDxfId="31"/>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30" dataDxfId="29">
  <autoFilter ref="F1:F4" xr:uid="{00000000-0009-0000-0100-000006000000}"/>
  <tableColumns count="1">
    <tableColumn id="1" xr3:uid="{00000000-0010-0000-0500-000001000000}" name="List_MVol" dataDxfId="28"/>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7" dataDxfId="26">
  <autoFilter ref="G1:G3" xr:uid="{00000000-0009-0000-0100-000007000000}"/>
  <tableColumns count="1">
    <tableColumn id="1" xr3:uid="{00000000-0010-0000-0600-000001000000}" name="LIST_CKnd" dataDxfId="25"/>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4" dataDxfId="23">
  <autoFilter ref="H1:H4" xr:uid="{00000000-0009-0000-0100-000008000000}"/>
  <tableColumns count="1">
    <tableColumn id="1" xr3:uid="{00000000-0010-0000-0700-000001000000}" name="LIST_Test" dataDxfId="22"/>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1" dataDxfId="20">
  <autoFilter ref="I1:I3" xr:uid="{00000000-0009-0000-0100-000009000000}"/>
  <tableColumns count="1">
    <tableColumn id="1" xr3:uid="{00000000-0010-0000-0800-000001000000}" name="LIST_Per" dataDxfId="19"/>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8" dataDxfId="17">
  <autoFilter ref="J1:J3" xr:uid="{00000000-0009-0000-0100-00000A000000}"/>
  <tableColumns count="1">
    <tableColumn id="1" xr3:uid="{00000000-0010-0000-0900-000001000000}" name="LIST_Con" dataDxfId="16"/>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5" dataDxfId="14">
  <autoFilter ref="K1:K3" xr:uid="{00000000-0009-0000-0100-00000B000000}"/>
  <tableColumns count="1">
    <tableColumn id="1" xr3:uid="{00000000-0010-0000-0A00-000001000000}" name="LIST_PPrv" dataDxfId="13"/>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2" dataDxfId="11">
  <autoFilter ref="L1:L4" xr:uid="{00000000-0009-0000-0100-00000C000000}"/>
  <tableColumns count="1">
    <tableColumn id="1" xr3:uid="{00000000-0010-0000-0B00-000001000000}" name="LIST_LSta" dataDxfId="10"/>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9" dataDxfId="8">
  <autoFilter ref="M1:M5" xr:uid="{00000000-0009-0000-0100-00000D000000}"/>
  <tableColumns count="1">
    <tableColumn id="1" xr3:uid="{00000000-0010-0000-0C00-000001000000}" name="LIST_Cuni" dataDxfId="7"/>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6" dataDxfId="5">
  <autoFilter ref="N1:N3" xr:uid="{00000000-0009-0000-0100-00000E000000}"/>
  <tableColumns count="1">
    <tableColumn id="1" xr3:uid="{00000000-0010-0000-0D00-000001000000}" name="LIST_X" dataDxfId="4"/>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3" dataDxfId="2">
  <autoFilter ref="O1:O12" xr:uid="{00000000-0009-0000-0100-00000F000000}"/>
  <tableColumns count="1">
    <tableColumn id="1" xr3:uid="{00000000-0010-0000-0E00-000001000000}" name="LIST_TPro" dataDxfId="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20" zoomScaleNormal="120" workbookViewId="0">
      <pane xSplit="2" ySplit="5" topLeftCell="Y6" activePane="bottomRight" state="frozen"/>
      <selection pane="topRight" activeCell="C1" sqref="C1"/>
      <selection pane="bottomLeft" activeCell="A6" sqref="A6"/>
      <selection pane="bottomRight" activeCell="AF6" sqref="AF6"/>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527</v>
      </c>
      <c r="C1" s="74" t="s">
        <v>180</v>
      </c>
      <c r="D1" s="152" t="s">
        <v>166</v>
      </c>
      <c r="E1" s="251" t="s">
        <v>517</v>
      </c>
      <c r="F1" s="251"/>
      <c r="G1" s="251"/>
      <c r="H1" s="251"/>
      <c r="I1" s="251"/>
      <c r="J1" s="251"/>
      <c r="K1" s="251"/>
      <c r="L1" s="251"/>
      <c r="M1" s="251"/>
      <c r="N1" s="251"/>
      <c r="O1" s="251"/>
      <c r="P1" s="251"/>
      <c r="Q1" s="251"/>
      <c r="R1" s="251"/>
      <c r="S1" s="251"/>
      <c r="T1" s="251"/>
      <c r="U1" s="251"/>
      <c r="V1" s="251"/>
      <c r="W1" s="66"/>
      <c r="X1" s="66"/>
      <c r="Y1" s="66"/>
      <c r="Z1" s="66"/>
      <c r="AA1" s="66"/>
      <c r="AB1" s="66"/>
      <c r="AC1" s="59"/>
      <c r="AD1" s="59"/>
      <c r="AE1" s="59"/>
      <c r="AF1" s="80"/>
      <c r="AG1" s="59"/>
      <c r="AH1" s="59"/>
      <c r="AI1" s="59"/>
      <c r="AJ1" s="59"/>
    </row>
    <row r="2" spans="1:37" x14ac:dyDescent="0.3">
      <c r="A2" s="76" t="s">
        <v>214</v>
      </c>
      <c r="B2" s="151">
        <v>2025</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49" t="s">
        <v>218</v>
      </c>
      <c r="F4" s="249" t="s">
        <v>219</v>
      </c>
      <c r="G4" s="249" t="s">
        <v>220</v>
      </c>
      <c r="H4" s="249" t="s">
        <v>221</v>
      </c>
      <c r="I4" s="249" t="s">
        <v>222</v>
      </c>
      <c r="J4" s="249" t="s">
        <v>223</v>
      </c>
      <c r="K4" s="249" t="s">
        <v>224</v>
      </c>
      <c r="L4" s="249" t="s">
        <v>225</v>
      </c>
      <c r="M4" s="249" t="s">
        <v>226</v>
      </c>
      <c r="N4" s="249" t="s">
        <v>227</v>
      </c>
      <c r="O4" s="249" t="s">
        <v>228</v>
      </c>
      <c r="P4" s="249" t="s">
        <v>229</v>
      </c>
      <c r="Q4" s="249" t="s">
        <v>230</v>
      </c>
      <c r="R4" s="249" t="s">
        <v>231</v>
      </c>
      <c r="S4" s="249" t="s">
        <v>232</v>
      </c>
      <c r="T4" s="249" t="s">
        <v>233</v>
      </c>
      <c r="U4" s="249" t="s">
        <v>234</v>
      </c>
      <c r="V4" s="141" t="s">
        <v>235</v>
      </c>
      <c r="W4" s="142" t="s">
        <v>236</v>
      </c>
      <c r="X4" s="243" t="s">
        <v>237</v>
      </c>
      <c r="Y4" s="244"/>
      <c r="Z4" s="245"/>
      <c r="AA4" s="246" t="s">
        <v>328</v>
      </c>
      <c r="AB4" s="247"/>
      <c r="AC4" s="248"/>
      <c r="AD4" s="142" t="s">
        <v>238</v>
      </c>
      <c r="AE4" s="142" t="s">
        <v>239</v>
      </c>
      <c r="AF4" s="142" t="s">
        <v>240</v>
      </c>
      <c r="AG4" s="141" t="s">
        <v>241</v>
      </c>
      <c r="AH4" s="141" t="s">
        <v>242</v>
      </c>
      <c r="AI4" s="141" t="s">
        <v>243</v>
      </c>
      <c r="AJ4" s="140" t="s">
        <v>244</v>
      </c>
    </row>
    <row r="5" spans="1:37" ht="12.75" customHeight="1" x14ac:dyDescent="0.3">
      <c r="A5" s="143"/>
      <c r="B5" s="144"/>
      <c r="C5" s="145"/>
      <c r="D5" s="146"/>
      <c r="E5" s="250"/>
      <c r="F5" s="250"/>
      <c r="G5" s="250"/>
      <c r="H5" s="250"/>
      <c r="I5" s="250"/>
      <c r="J5" s="250"/>
      <c r="K5" s="250"/>
      <c r="L5" s="250"/>
      <c r="M5" s="250"/>
      <c r="N5" s="250"/>
      <c r="O5" s="250"/>
      <c r="P5" s="250"/>
      <c r="Q5" s="250"/>
      <c r="R5" s="250"/>
      <c r="S5" s="250"/>
      <c r="T5" s="250"/>
      <c r="U5" s="250"/>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69" x14ac:dyDescent="0.3">
      <c r="A6" s="171" t="s">
        <v>249</v>
      </c>
      <c r="B6" s="173" t="s">
        <v>523</v>
      </c>
      <c r="C6" s="173" t="s">
        <v>523</v>
      </c>
      <c r="D6" s="174" t="s">
        <v>526</v>
      </c>
      <c r="E6" s="174" t="s">
        <v>10</v>
      </c>
      <c r="F6" s="174"/>
      <c r="G6" s="174" t="s">
        <v>10</v>
      </c>
      <c r="H6" s="174"/>
      <c r="I6" s="174"/>
      <c r="J6" s="174"/>
      <c r="K6" s="174"/>
      <c r="L6" s="174"/>
      <c r="M6" s="174"/>
      <c r="N6" s="174"/>
      <c r="O6" s="174"/>
      <c r="P6" s="174"/>
      <c r="Q6" s="174"/>
      <c r="R6" s="174"/>
      <c r="S6" s="174"/>
      <c r="T6" s="174"/>
      <c r="U6" s="174"/>
      <c r="V6" s="174" t="s">
        <v>399</v>
      </c>
      <c r="W6" s="174" t="s">
        <v>425</v>
      </c>
      <c r="X6" s="222">
        <v>1004106</v>
      </c>
      <c r="Y6" s="182">
        <v>0</v>
      </c>
      <c r="Z6" s="182">
        <v>0</v>
      </c>
      <c r="AA6" s="222">
        <v>6238</v>
      </c>
      <c r="AB6" s="222">
        <v>5086</v>
      </c>
      <c r="AC6" s="222">
        <v>1152</v>
      </c>
      <c r="AD6" s="221" t="s">
        <v>435</v>
      </c>
      <c r="AE6" s="174" t="s">
        <v>439</v>
      </c>
      <c r="AF6" s="174" t="s">
        <v>446</v>
      </c>
      <c r="AG6" s="232">
        <v>24264.139255999999</v>
      </c>
      <c r="AH6" s="232">
        <v>41841.080439149999</v>
      </c>
      <c r="AI6" s="233">
        <v>281559.085173</v>
      </c>
      <c r="AJ6" s="175" t="s">
        <v>534</v>
      </c>
      <c r="AK6" s="81"/>
    </row>
    <row r="7" spans="1:37" s="95" customFormat="1" ht="69" x14ac:dyDescent="0.3">
      <c r="A7" s="172" t="s">
        <v>250</v>
      </c>
      <c r="B7" s="176" t="s">
        <v>524</v>
      </c>
      <c r="C7" s="176" t="s">
        <v>524</v>
      </c>
      <c r="D7" s="177" t="s">
        <v>526</v>
      </c>
      <c r="E7" s="177"/>
      <c r="F7" s="177"/>
      <c r="G7" s="177"/>
      <c r="H7" s="177"/>
      <c r="I7" s="177"/>
      <c r="J7" s="177"/>
      <c r="K7" s="177"/>
      <c r="L7" s="177"/>
      <c r="M7" s="177"/>
      <c r="N7" s="177"/>
      <c r="O7" s="177"/>
      <c r="P7" s="177"/>
      <c r="Q7" s="177"/>
      <c r="R7" s="177"/>
      <c r="S7" s="177"/>
      <c r="T7" s="177"/>
      <c r="U7" s="177"/>
      <c r="V7" s="177" t="s">
        <v>399</v>
      </c>
      <c r="W7" s="177" t="s">
        <v>425</v>
      </c>
      <c r="X7" s="222">
        <v>218899</v>
      </c>
      <c r="Y7" s="183">
        <v>0</v>
      </c>
      <c r="Z7" s="183">
        <v>0</v>
      </c>
      <c r="AA7" s="224">
        <v>0</v>
      </c>
      <c r="AB7" s="224">
        <v>0</v>
      </c>
      <c r="AC7" s="224">
        <v>0</v>
      </c>
      <c r="AD7" s="225" t="s">
        <v>435</v>
      </c>
      <c r="AE7" s="177" t="s">
        <v>439</v>
      </c>
      <c r="AF7" s="177" t="s">
        <v>451</v>
      </c>
      <c r="AG7" s="227">
        <v>0</v>
      </c>
      <c r="AH7" s="229">
        <v>0</v>
      </c>
      <c r="AI7" s="231">
        <v>22346.38766</v>
      </c>
      <c r="AJ7" s="178" t="s">
        <v>534</v>
      </c>
      <c r="AK7" s="81"/>
    </row>
    <row r="8" spans="1:37" s="81" customFormat="1" ht="69" x14ac:dyDescent="0.3">
      <c r="A8" s="171" t="s">
        <v>251</v>
      </c>
      <c r="B8" s="173" t="s">
        <v>531</v>
      </c>
      <c r="C8" s="173" t="s">
        <v>525</v>
      </c>
      <c r="D8" s="174" t="s">
        <v>526</v>
      </c>
      <c r="E8" s="174"/>
      <c r="F8" s="174"/>
      <c r="G8" s="174"/>
      <c r="H8" s="174" t="s">
        <v>10</v>
      </c>
      <c r="I8" s="174"/>
      <c r="J8" s="174"/>
      <c r="K8" s="174"/>
      <c r="L8" s="174"/>
      <c r="M8" s="174"/>
      <c r="N8" s="174" t="s">
        <v>10</v>
      </c>
      <c r="O8" s="174"/>
      <c r="P8" s="174"/>
      <c r="Q8" s="174"/>
      <c r="R8" s="174"/>
      <c r="S8" s="174"/>
      <c r="T8" s="174"/>
      <c r="U8" s="174"/>
      <c r="V8" s="174" t="s">
        <v>400</v>
      </c>
      <c r="W8" s="174"/>
      <c r="X8" s="182"/>
      <c r="Y8" s="182"/>
      <c r="Z8" s="182"/>
      <c r="AA8" s="182">
        <v>0</v>
      </c>
      <c r="AB8" s="182">
        <v>0</v>
      </c>
      <c r="AC8" s="182">
        <v>0</v>
      </c>
      <c r="AD8" s="221" t="s">
        <v>435</v>
      </c>
      <c r="AE8" s="174" t="s">
        <v>439</v>
      </c>
      <c r="AF8" s="174" t="s">
        <v>449</v>
      </c>
      <c r="AG8" s="226">
        <v>0</v>
      </c>
      <c r="AH8" s="230">
        <v>0</v>
      </c>
      <c r="AI8" s="233">
        <v>30233.171169000001</v>
      </c>
      <c r="AJ8" s="175" t="s">
        <v>535</v>
      </c>
    </row>
    <row r="9" spans="1:37" s="95" customFormat="1" ht="55.2" x14ac:dyDescent="0.3">
      <c r="A9" s="172" t="s">
        <v>252</v>
      </c>
      <c r="B9" s="176" t="s">
        <v>532</v>
      </c>
      <c r="C9" s="176" t="s">
        <v>532</v>
      </c>
      <c r="D9" s="177" t="s">
        <v>526</v>
      </c>
      <c r="E9" s="177" t="s">
        <v>10</v>
      </c>
      <c r="F9" s="177"/>
      <c r="G9" s="177" t="s">
        <v>10</v>
      </c>
      <c r="H9" s="177"/>
      <c r="I9" s="177"/>
      <c r="J9" s="177"/>
      <c r="K9" s="177"/>
      <c r="L9" s="177"/>
      <c r="M9" s="177"/>
      <c r="N9" s="177"/>
      <c r="O9" s="177"/>
      <c r="P9" s="177"/>
      <c r="Q9" s="177"/>
      <c r="R9" s="177"/>
      <c r="S9" s="177"/>
      <c r="T9" s="177"/>
      <c r="U9" s="177"/>
      <c r="V9" s="177" t="s">
        <v>400</v>
      </c>
      <c r="W9" s="177"/>
      <c r="X9" s="183" t="s">
        <v>533</v>
      </c>
      <c r="Y9" s="183"/>
      <c r="Z9" s="183"/>
      <c r="AA9" s="223">
        <f>AB9+AC9</f>
        <v>4522</v>
      </c>
      <c r="AB9" s="223">
        <v>4005</v>
      </c>
      <c r="AC9" s="223">
        <v>517</v>
      </c>
      <c r="AD9" s="225" t="s">
        <v>435</v>
      </c>
      <c r="AE9" s="177" t="s">
        <v>439</v>
      </c>
      <c r="AF9" s="177" t="s">
        <v>449</v>
      </c>
      <c r="AG9" s="227">
        <v>8555.0462399999997</v>
      </c>
      <c r="AH9" s="229">
        <v>0</v>
      </c>
      <c r="AI9" s="227">
        <v>19620.214980000001</v>
      </c>
      <c r="AJ9" s="178" t="s">
        <v>536</v>
      </c>
      <c r="AK9" s="81"/>
    </row>
    <row r="10" spans="1:37" s="81" customFormat="1" x14ac:dyDescent="0.3">
      <c r="A10" s="171" t="s">
        <v>253</v>
      </c>
      <c r="B10" s="173" t="s">
        <v>290</v>
      </c>
      <c r="C10" s="173"/>
      <c r="D10" s="174"/>
      <c r="E10" s="174"/>
      <c r="F10" s="174"/>
      <c r="G10" s="174"/>
      <c r="H10" s="174"/>
      <c r="I10" s="174"/>
      <c r="J10" s="174"/>
      <c r="K10" s="174"/>
      <c r="L10" s="174"/>
      <c r="M10" s="174"/>
      <c r="N10" s="174"/>
      <c r="O10" s="174"/>
      <c r="P10" s="174"/>
      <c r="Q10" s="174"/>
      <c r="R10" s="174"/>
      <c r="S10" s="174"/>
      <c r="T10" s="174"/>
      <c r="U10" s="174"/>
      <c r="V10" s="174"/>
      <c r="W10" s="174"/>
      <c r="X10" s="182"/>
      <c r="Y10" s="182"/>
      <c r="Z10" s="182"/>
      <c r="AA10" s="182"/>
      <c r="AB10" s="182"/>
      <c r="AC10" s="182"/>
      <c r="AD10" s="174"/>
      <c r="AE10" s="174"/>
      <c r="AF10" s="174"/>
      <c r="AG10" s="185"/>
      <c r="AH10" s="185"/>
      <c r="AI10" s="185"/>
      <c r="AJ10" s="175"/>
    </row>
    <row r="11" spans="1:37" s="95" customFormat="1" x14ac:dyDescent="0.3">
      <c r="A11" s="172" t="s">
        <v>254</v>
      </c>
      <c r="B11" s="176" t="s">
        <v>291</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292</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293</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294</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295</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296</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297</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298</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299</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300</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301</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302</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303</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304</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305</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306</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307</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308</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309</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310</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311</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312</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313</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314</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315</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316</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317</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318</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319</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320</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321</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322</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323</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324</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325</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326</v>
      </c>
      <c r="B46" s="138" t="s">
        <v>327</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F6 A9:AJ45 A7:AH8 AJ6:AJ8">
    <cfRule type="expression" dxfId="209" priority="7">
      <formula>MOD(ROW(),2)=0</formula>
    </cfRule>
    <cfRule type="expression" dxfId="208" priority="32">
      <formula>MOD(ROW(),2)=1</formula>
    </cfRule>
  </conditionalFormatting>
  <conditionalFormatting sqref="AI7">
    <cfRule type="expression" dxfId="207" priority="1">
      <formula>MOD(ROW(),2)=0</formula>
    </cfRule>
    <cfRule type="expression" dxfId="206" priority="2">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ignoredErrors>
    <ignoredError sqref="AA9" unlockedFormula="1"/>
  </ignoredErrors>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6" id="{B02D565D-F825-4CF2-AC97-E9AF5112121B}">
            <xm:f>$V6=HID_dropdown!$A$3</xm:f>
            <x14:dxf>
              <fill>
                <patternFill>
                  <bgColor theme="1"/>
                </patternFill>
              </fill>
            </x14:dxf>
          </x14:cfRule>
          <xm:sqref>W7:Z47 W6 Y6:Z6</xm:sqref>
        </x14:conditionalFormatting>
        <x14:conditionalFormatting xmlns:xm="http://schemas.microsoft.com/office/excel/2006/main">
          <x14:cfRule type="expression" priority="4" id="{98AB6144-0802-4182-8418-A76632332E6B}">
            <xm:f>$V6=HID_dropdown!$A$3</xm:f>
            <x14:dxf>
              <fill>
                <patternFill>
                  <bgColor theme="1"/>
                </patternFill>
              </fill>
            </x14:dxf>
          </x14:cfRule>
          <xm:sqref>AA6:AC6</xm:sqref>
        </x14:conditionalFormatting>
        <x14:conditionalFormatting xmlns:xm="http://schemas.microsoft.com/office/excel/2006/main">
          <x14:cfRule type="expression" priority="3" id="{58D90D3B-EB46-436E-8A97-FC3455FEA05D}">
            <xm:f>$V6=HID_dropdown!$A$3</xm:f>
            <x14:dxf>
              <fill>
                <patternFill>
                  <bgColor theme="1"/>
                </patternFill>
              </fill>
            </x14:dxf>
          </x14:cfRule>
          <xm:sqref>X6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D5" activePane="bottomRight" state="frozen"/>
      <selection pane="topRight" activeCell="C1" sqref="C1"/>
      <selection pane="bottomLeft" activeCell="A5" sqref="A5"/>
      <selection pane="bottomRight" activeCell="S7" sqref="S7"/>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Régime de base</v>
      </c>
      <c r="C1" s="164" t="str">
        <f ca="1">IF(OFFSET('Inventaire des régimes'!C5,(_xlfn.SHEET()-2),0)=0,"Name of Scheme in English", OFFSET('Inventaire des régimes'!C5,(_xlfn.SHEET()-2),0))</f>
        <v>Régime de base</v>
      </c>
      <c r="D1" s="165">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27.6" x14ac:dyDescent="0.3">
      <c r="A5" s="96" t="s">
        <v>356</v>
      </c>
      <c r="B5" s="188" t="s">
        <v>528</v>
      </c>
      <c r="C5" s="188" t="s">
        <v>528</v>
      </c>
      <c r="D5" s="190" t="s">
        <v>218</v>
      </c>
      <c r="E5" s="191" t="s">
        <v>413</v>
      </c>
      <c r="F5" s="190" t="s">
        <v>421</v>
      </c>
      <c r="G5" s="189" t="s">
        <v>424</v>
      </c>
      <c r="H5" s="189" t="s">
        <v>399</v>
      </c>
      <c r="I5" s="228">
        <v>1003277</v>
      </c>
      <c r="J5" s="205">
        <v>0</v>
      </c>
      <c r="K5" s="205">
        <v>0</v>
      </c>
      <c r="L5" s="220">
        <v>6238</v>
      </c>
      <c r="M5" s="219">
        <v>5086</v>
      </c>
      <c r="N5" s="219">
        <v>1152</v>
      </c>
      <c r="O5" s="192" t="s">
        <v>428</v>
      </c>
      <c r="P5" s="234" t="s">
        <v>433</v>
      </c>
      <c r="Q5" s="235">
        <v>531619085</v>
      </c>
      <c r="R5" s="235">
        <v>1157457115.8333333</v>
      </c>
      <c r="S5" s="192">
        <v>0</v>
      </c>
      <c r="T5" s="194" t="s">
        <v>537</v>
      </c>
      <c r="U5" s="194"/>
      <c r="V5" s="194"/>
      <c r="W5" s="195" t="s">
        <v>538</v>
      </c>
      <c r="X5" s="195" t="s">
        <v>538</v>
      </c>
      <c r="Y5" s="194" t="s">
        <v>539</v>
      </c>
      <c r="Z5" s="236">
        <v>13889485390</v>
      </c>
      <c r="AA5" s="189"/>
      <c r="AB5" s="97"/>
    </row>
    <row r="6" spans="1:28" s="63" customFormat="1" ht="27.6" x14ac:dyDescent="0.3">
      <c r="A6" s="96" t="s">
        <v>357</v>
      </c>
      <c r="B6" s="196" t="s">
        <v>529</v>
      </c>
      <c r="C6" s="196" t="s">
        <v>529</v>
      </c>
      <c r="D6" s="198" t="s">
        <v>403</v>
      </c>
      <c r="E6" s="269" t="s">
        <v>413</v>
      </c>
      <c r="F6" s="268" t="s">
        <v>422</v>
      </c>
      <c r="G6" s="197" t="s">
        <v>424</v>
      </c>
      <c r="H6" s="197" t="s">
        <v>399</v>
      </c>
      <c r="I6" s="238">
        <v>1003277</v>
      </c>
      <c r="J6" s="252">
        <v>0</v>
      </c>
      <c r="K6" s="252">
        <v>0</v>
      </c>
      <c r="L6" s="270">
        <v>738</v>
      </c>
      <c r="M6" s="270">
        <v>0</v>
      </c>
      <c r="N6" s="270">
        <v>0</v>
      </c>
      <c r="O6" s="193" t="s">
        <v>428</v>
      </c>
      <c r="P6" s="193" t="s">
        <v>433</v>
      </c>
      <c r="Q6" s="270">
        <v>28950970</v>
      </c>
      <c r="R6" s="270">
        <v>56601315.5</v>
      </c>
      <c r="S6" s="192">
        <v>0</v>
      </c>
      <c r="T6" s="201" t="s">
        <v>537</v>
      </c>
      <c r="U6" s="201"/>
      <c r="V6" s="201"/>
      <c r="W6" s="202"/>
      <c r="X6" s="202"/>
      <c r="Y6" s="201" t="s">
        <v>540</v>
      </c>
      <c r="Z6" s="271">
        <v>679215786</v>
      </c>
      <c r="AA6" s="197"/>
      <c r="AB6" s="97"/>
    </row>
    <row r="7" spans="1:28" s="63" customFormat="1" ht="27.6" x14ac:dyDescent="0.3">
      <c r="A7" s="96" t="s">
        <v>358</v>
      </c>
      <c r="B7" s="196" t="s">
        <v>530</v>
      </c>
      <c r="C7" s="196" t="s">
        <v>530</v>
      </c>
      <c r="D7" s="198" t="s">
        <v>403</v>
      </c>
      <c r="E7" s="269" t="s">
        <v>413</v>
      </c>
      <c r="F7" s="200" t="s">
        <v>223</v>
      </c>
      <c r="G7" s="197" t="s">
        <v>424</v>
      </c>
      <c r="H7" s="197" t="s">
        <v>399</v>
      </c>
      <c r="I7" s="238">
        <v>1003277</v>
      </c>
      <c r="J7" s="253"/>
      <c r="K7" s="253"/>
      <c r="L7" s="270">
        <v>738</v>
      </c>
      <c r="M7" s="270">
        <v>0</v>
      </c>
      <c r="N7" s="270">
        <v>0</v>
      </c>
      <c r="O7" s="193" t="s">
        <v>428</v>
      </c>
      <c r="P7" s="193" t="s">
        <v>433</v>
      </c>
      <c r="Q7" s="270">
        <v>28950970</v>
      </c>
      <c r="R7" s="270">
        <v>56601315.5</v>
      </c>
      <c r="S7" s="192">
        <v>0</v>
      </c>
      <c r="T7" s="201" t="s">
        <v>537</v>
      </c>
      <c r="U7" s="201"/>
      <c r="V7" s="201"/>
      <c r="W7" s="202"/>
      <c r="X7" s="202"/>
      <c r="Y7" s="201" t="s">
        <v>541</v>
      </c>
      <c r="Z7" s="271">
        <v>679215786</v>
      </c>
      <c r="AA7" s="197"/>
      <c r="AB7" s="97"/>
    </row>
    <row r="8" spans="1:28" s="63" customFormat="1"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545</v>
      </c>
      <c r="D21" s="88" t="s">
        <v>17</v>
      </c>
      <c r="E21" s="75" t="s">
        <v>542</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9">
    <mergeCell ref="J6:J7"/>
    <mergeCell ref="K6:K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13"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8"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8"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I5:K6 I8:K19</xm:sqref>
        </x14:conditionalFormatting>
        <x14:conditionalFormatting xmlns:xm="http://schemas.microsoft.com/office/excel/2006/main">
          <x14:cfRule type="expression" priority="30"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1" id="{A483E024-D975-4F06-BE93-4D3753D28C41}">
            <xm:f>$H7=HID_dropdown!$A$3</xm:f>
            <x14:dxf>
              <fill>
                <patternFill>
                  <bgColor theme="1"/>
                </patternFill>
              </fill>
              <border>
                <left style="thin">
                  <color auto="1"/>
                </left>
                <right style="thin">
                  <color auto="1"/>
                </right>
                <top style="thin">
                  <color auto="1"/>
                </top>
                <bottom style="thin">
                  <color auto="1"/>
                </bottom>
              </border>
            </x14:dxf>
          </x14:cfRule>
          <xm:sqref>I7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C10" sqref="C10"/>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Régime Complémentaire</v>
      </c>
      <c r="C1" s="164" t="str">
        <f ca="1">IF(OFFSET('Inventaire des régimes'!C5,(_xlfn.SHEET()-2),0)=0,"Name of Scheme in English", OFFSET('Inventaire des régimes'!C5,(_xlfn.SHEET()-2),0))</f>
        <v>Régime Complémentaire</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544</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21" sqref="B2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 xml:space="preserve">Branche des Risques professionnels </v>
      </c>
      <c r="C1" s="164" t="str">
        <f ca="1">IF(OFFSET('Inventaire des régimes'!C5,(_xlfn.SHEET()-2),0)=0,"Name of Scheme in English", OFFSET('Inventaire des régimes'!C5,(_xlfn.SHEET()-2),0))</f>
        <v xml:space="preserve">Risques professionnels </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543</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AB13" sqref="AB13"/>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5" width="11.77734375" style="62" customWidth="1"/>
    <col min="26" max="26" width="12.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 xml:space="preserve">Réforme de Basculement </v>
      </c>
      <c r="C1" s="164" t="str">
        <f ca="1">IF(OFFSET('Inventaire des régimes'!C5,(_xlfn.SHEET()-2),0)=0,"Name of Scheme in English", OFFSET('Inventaire des régimes'!C5,(_xlfn.SHEET()-2),0))</f>
        <v xml:space="preserve">Réforme de Basculement </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t="s">
        <v>528</v>
      </c>
      <c r="C5" s="189" t="s">
        <v>528</v>
      </c>
      <c r="D5" s="190" t="s">
        <v>218</v>
      </c>
      <c r="E5" s="191" t="s">
        <v>413</v>
      </c>
      <c r="F5" s="190" t="s">
        <v>421</v>
      </c>
      <c r="G5" s="189" t="s">
        <v>424</v>
      </c>
      <c r="H5" s="189" t="s">
        <v>400</v>
      </c>
      <c r="I5" s="205"/>
      <c r="J5" s="205"/>
      <c r="K5" s="205"/>
      <c r="L5" s="220">
        <f>M5+N5</f>
        <v>4522</v>
      </c>
      <c r="M5" s="219">
        <v>4005</v>
      </c>
      <c r="N5" s="219">
        <v>517</v>
      </c>
      <c r="O5" s="192" t="s">
        <v>428</v>
      </c>
      <c r="P5" s="193" t="s">
        <v>433</v>
      </c>
      <c r="Q5" s="235">
        <v>690541430</v>
      </c>
      <c r="R5" s="235">
        <v>807953173.33333337</v>
      </c>
      <c r="S5" s="192"/>
      <c r="T5" s="194"/>
      <c r="U5" s="194"/>
      <c r="V5" s="194" t="s">
        <v>437</v>
      </c>
      <c r="W5" s="195" t="s">
        <v>546</v>
      </c>
      <c r="X5" s="195" t="s">
        <v>546</v>
      </c>
      <c r="Y5" s="194" t="s">
        <v>547</v>
      </c>
      <c r="Z5" s="239">
        <v>9695438080</v>
      </c>
      <c r="AA5" s="189"/>
      <c r="AB5" s="97"/>
    </row>
    <row r="6" spans="1:28" s="63" customFormat="1" ht="27.6" x14ac:dyDescent="0.3">
      <c r="A6" s="96" t="s">
        <v>357</v>
      </c>
      <c r="B6" s="196" t="s">
        <v>529</v>
      </c>
      <c r="C6" s="197" t="s">
        <v>529</v>
      </c>
      <c r="D6" s="198" t="s">
        <v>403</v>
      </c>
      <c r="E6" s="269" t="s">
        <v>413</v>
      </c>
      <c r="F6" s="200" t="s">
        <v>422</v>
      </c>
      <c r="G6" s="197" t="s">
        <v>424</v>
      </c>
      <c r="H6" s="197" t="s">
        <v>400</v>
      </c>
      <c r="I6" s="208"/>
      <c r="J6" s="208"/>
      <c r="K6" s="208"/>
      <c r="L6" s="271">
        <v>8922</v>
      </c>
      <c r="M6" s="271">
        <v>0</v>
      </c>
      <c r="N6" s="271">
        <v>0</v>
      </c>
      <c r="O6" s="193" t="s">
        <v>428</v>
      </c>
      <c r="P6" s="193" t="s">
        <v>433</v>
      </c>
      <c r="Q6" s="271">
        <v>561784547</v>
      </c>
      <c r="R6" s="271">
        <v>712920520</v>
      </c>
      <c r="S6" s="193"/>
      <c r="T6" s="201"/>
      <c r="U6" s="201"/>
      <c r="V6" s="201" t="s">
        <v>437</v>
      </c>
      <c r="W6" s="202"/>
      <c r="X6" s="202"/>
      <c r="Y6" s="201" t="s">
        <v>547</v>
      </c>
      <c r="Z6" s="271">
        <v>8555046240</v>
      </c>
      <c r="AA6" s="197"/>
      <c r="AB6" s="97"/>
    </row>
    <row r="7" spans="1:28" s="63" customFormat="1" ht="13.8" x14ac:dyDescent="0.3">
      <c r="A7" s="96" t="s">
        <v>358</v>
      </c>
      <c r="B7" s="196" t="s">
        <v>530</v>
      </c>
      <c r="C7" s="197" t="s">
        <v>530</v>
      </c>
      <c r="D7" s="198" t="s">
        <v>403</v>
      </c>
      <c r="E7" s="269" t="s">
        <v>413</v>
      </c>
      <c r="F7" s="200" t="s">
        <v>223</v>
      </c>
      <c r="G7" s="197" t="s">
        <v>424</v>
      </c>
      <c r="H7" s="197" t="s">
        <v>400</v>
      </c>
      <c r="I7" s="208"/>
      <c r="J7" s="208"/>
      <c r="K7" s="208"/>
      <c r="L7" s="271">
        <v>8922</v>
      </c>
      <c r="M7" s="271">
        <v>0</v>
      </c>
      <c r="N7" s="271">
        <v>0</v>
      </c>
      <c r="O7" s="193" t="s">
        <v>428</v>
      </c>
      <c r="P7" s="193" t="s">
        <v>433</v>
      </c>
      <c r="Q7" s="271">
        <v>561784547</v>
      </c>
      <c r="R7" s="271">
        <v>712920520</v>
      </c>
      <c r="S7" s="193"/>
      <c r="T7" s="201"/>
      <c r="U7" s="201"/>
      <c r="V7" s="201" t="s">
        <v>437</v>
      </c>
      <c r="W7" s="202"/>
      <c r="X7" s="202"/>
      <c r="Y7" s="201" t="s">
        <v>547</v>
      </c>
      <c r="Z7" s="271">
        <v>8555046240</v>
      </c>
      <c r="AA7" s="197"/>
      <c r="AB7" s="97"/>
    </row>
    <row r="8" spans="1:28" s="63" customFormat="1" ht="13.8" x14ac:dyDescent="0.3">
      <c r="A8" s="96" t="s">
        <v>359</v>
      </c>
      <c r="B8" s="196"/>
      <c r="C8" s="197"/>
      <c r="D8" s="198"/>
      <c r="E8" s="199"/>
      <c r="F8" s="200"/>
      <c r="G8" s="197"/>
      <c r="H8" s="197"/>
      <c r="I8" s="208"/>
      <c r="J8" s="208"/>
      <c r="K8" s="208"/>
      <c r="L8" s="209"/>
      <c r="M8" s="209"/>
      <c r="N8" s="209"/>
      <c r="O8" s="193"/>
      <c r="P8" s="193"/>
      <c r="Q8" s="237"/>
      <c r="R8" s="237"/>
      <c r="S8" s="193"/>
      <c r="T8" s="201"/>
      <c r="U8" s="201"/>
      <c r="V8" s="201"/>
      <c r="W8" s="202"/>
      <c r="X8" s="202"/>
      <c r="Y8" s="201"/>
      <c r="Z8" s="204"/>
      <c r="AA8" s="197"/>
      <c r="AB8" s="97"/>
    </row>
    <row r="9" spans="1:28" s="63" customFormat="1" ht="13.05" x14ac:dyDescent="0.35">
      <c r="A9" s="96" t="s">
        <v>360</v>
      </c>
      <c r="B9" s="196"/>
      <c r="C9" s="197"/>
      <c r="D9" s="198"/>
      <c r="E9" s="199"/>
      <c r="F9" s="200"/>
      <c r="G9" s="197"/>
      <c r="H9" s="197"/>
      <c r="I9" s="208"/>
      <c r="J9" s="208"/>
      <c r="K9" s="208"/>
      <c r="L9" s="209"/>
      <c r="M9" s="209"/>
      <c r="N9" s="209"/>
      <c r="O9" s="193"/>
      <c r="P9" s="193"/>
      <c r="Q9" s="237"/>
      <c r="R9" s="237"/>
      <c r="S9" s="193"/>
      <c r="T9" s="201"/>
      <c r="U9" s="201"/>
      <c r="V9" s="201"/>
      <c r="W9" s="202"/>
      <c r="X9" s="202"/>
      <c r="Y9" s="201"/>
      <c r="Z9" s="204"/>
      <c r="AA9" s="197"/>
      <c r="AB9" s="97"/>
    </row>
    <row r="10" spans="1:28" s="63" customFormat="1" ht="13.05" x14ac:dyDescent="0.35">
      <c r="A10" s="96" t="s">
        <v>361</v>
      </c>
      <c r="B10" s="196"/>
      <c r="C10" s="197"/>
      <c r="D10" s="198"/>
      <c r="E10" s="199"/>
      <c r="F10" s="200"/>
      <c r="G10" s="197"/>
      <c r="H10" s="197"/>
      <c r="I10" s="208"/>
      <c r="J10" s="208"/>
      <c r="K10" s="208"/>
      <c r="L10" s="210"/>
      <c r="M10" s="209"/>
      <c r="N10" s="209"/>
      <c r="O10" s="193"/>
      <c r="P10" s="193"/>
      <c r="Q10" s="237"/>
      <c r="R10" s="237"/>
      <c r="S10" s="193"/>
      <c r="T10" s="201"/>
      <c r="U10" s="201"/>
      <c r="V10" s="201"/>
      <c r="W10" s="202"/>
      <c r="X10" s="202"/>
      <c r="Y10" s="201"/>
      <c r="Z10" s="204"/>
      <c r="AA10" s="197"/>
      <c r="AB10" s="97"/>
    </row>
    <row r="11" spans="1:28" s="63" customFormat="1" ht="13.05" x14ac:dyDescent="0.35">
      <c r="A11" s="96" t="s">
        <v>362</v>
      </c>
      <c r="B11" s="196"/>
      <c r="C11" s="197"/>
      <c r="D11" s="198"/>
      <c r="E11" s="199"/>
      <c r="F11" s="200"/>
      <c r="G11" s="197"/>
      <c r="H11" s="197"/>
      <c r="I11" s="208"/>
      <c r="J11" s="208"/>
      <c r="K11" s="208"/>
      <c r="L11" s="209"/>
      <c r="M11" s="209"/>
      <c r="N11" s="209"/>
      <c r="O11" s="193"/>
      <c r="P11" s="193"/>
      <c r="Q11" s="237"/>
      <c r="R11" s="237"/>
      <c r="S11" s="193"/>
      <c r="T11" s="201"/>
      <c r="U11" s="201"/>
      <c r="V11" s="201"/>
      <c r="W11" s="202"/>
      <c r="X11" s="202"/>
      <c r="Y11" s="201"/>
      <c r="Z11" s="204"/>
      <c r="AA11" s="197"/>
      <c r="AB11" s="97"/>
    </row>
    <row r="12" spans="1:28" s="63" customFormat="1" ht="13.05" x14ac:dyDescent="0.35">
      <c r="A12" s="96" t="s">
        <v>363</v>
      </c>
      <c r="B12" s="196"/>
      <c r="C12" s="197"/>
      <c r="D12" s="198"/>
      <c r="E12" s="199"/>
      <c r="F12" s="200"/>
      <c r="G12" s="197"/>
      <c r="H12" s="197"/>
      <c r="I12" s="208"/>
      <c r="J12" s="208"/>
      <c r="K12" s="208"/>
      <c r="L12" s="209"/>
      <c r="M12" s="209"/>
      <c r="N12" s="209"/>
      <c r="O12" s="193"/>
      <c r="P12" s="193"/>
      <c r="Q12" s="237"/>
      <c r="R12" s="237"/>
      <c r="S12" s="193"/>
      <c r="T12" s="201"/>
      <c r="U12" s="201"/>
      <c r="V12" s="201"/>
      <c r="W12" s="202"/>
      <c r="X12" s="202"/>
      <c r="Y12" s="201"/>
      <c r="Z12" s="204"/>
      <c r="AA12" s="197"/>
      <c r="AB12" s="97"/>
    </row>
    <row r="13" spans="1:28" s="63" customFormat="1" ht="13.05" x14ac:dyDescent="0.35">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13.05" x14ac:dyDescent="0.35">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13.05" x14ac:dyDescent="0.35">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13.05" x14ac:dyDescent="0.35">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13.05" x14ac:dyDescent="0.35">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13.05" x14ac:dyDescent="0.35">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13.05" x14ac:dyDescent="0.35">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05" x14ac:dyDescent="0.35">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545</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05"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05" hidden="1" x14ac:dyDescent="0.3"/>
    <row r="24" spans="1:28" ht="13.05" hidden="1" x14ac:dyDescent="0.3"/>
    <row r="25" spans="1:28" ht="13.05" hidden="1" x14ac:dyDescent="0.3"/>
    <row r="26" spans="1:28" ht="13.05" hidden="1" x14ac:dyDescent="0.3"/>
    <row r="27" spans="1:28" ht="13.05" hidden="1" x14ac:dyDescent="0.3"/>
    <row r="28" spans="1:28" ht="13.05" hidden="1" x14ac:dyDescent="0.3"/>
    <row r="29" spans="1:28" ht="13.05" hidden="1" x14ac:dyDescent="0.3"/>
    <row r="30" spans="1:28" ht="13.05" hidden="1" x14ac:dyDescent="0.3"/>
    <row r="31" spans="1:28" ht="13.05"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ignoredErrors>
    <ignoredError sqref="L5" unlockedFormula="1"/>
  </ignoredErrors>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5</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518</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2025</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0" t="s">
        <v>352</v>
      </c>
      <c r="J2" s="240"/>
      <c r="K2" s="240"/>
      <c r="L2" s="240"/>
      <c r="M2" s="240"/>
      <c r="N2" s="240"/>
      <c r="O2" s="241" t="s">
        <v>353</v>
      </c>
      <c r="P2" s="241"/>
      <c r="Q2" s="241"/>
      <c r="R2" s="241"/>
      <c r="S2" s="241"/>
      <c r="T2" s="242" t="s">
        <v>354</v>
      </c>
      <c r="U2" s="242"/>
      <c r="V2" s="242"/>
      <c r="W2" s="242"/>
      <c r="X2" s="242"/>
      <c r="Y2" s="242"/>
      <c r="Z2" s="68" t="s">
        <v>355</v>
      </c>
      <c r="AA2" s="65"/>
      <c r="AB2" s="65"/>
    </row>
    <row r="3" spans="1:28" ht="96.6" x14ac:dyDescent="0.3">
      <c r="A3" s="154" t="s">
        <v>329</v>
      </c>
      <c r="B3" s="140" t="s">
        <v>330</v>
      </c>
      <c r="C3" s="140" t="s">
        <v>331</v>
      </c>
      <c r="D3" s="140" t="s">
        <v>332</v>
      </c>
      <c r="E3" s="243" t="s">
        <v>350</v>
      </c>
      <c r="F3" s="244"/>
      <c r="G3" s="245"/>
      <c r="H3" s="140" t="s">
        <v>333</v>
      </c>
      <c r="I3" s="243" t="s">
        <v>334</v>
      </c>
      <c r="J3" s="244"/>
      <c r="K3" s="245"/>
      <c r="L3" s="246" t="s">
        <v>328</v>
      </c>
      <c r="M3" s="247"/>
      <c r="N3" s="248"/>
      <c r="O3" s="140" t="s">
        <v>335</v>
      </c>
      <c r="P3" s="140" t="s">
        <v>336</v>
      </c>
      <c r="Q3" s="140" t="s">
        <v>337</v>
      </c>
      <c r="R3" s="140" t="s">
        <v>338</v>
      </c>
      <c r="S3" s="140" t="s">
        <v>339</v>
      </c>
      <c r="T3" s="140" t="s">
        <v>340</v>
      </c>
      <c r="U3" s="140" t="s">
        <v>516</v>
      </c>
      <c r="V3" s="140" t="s">
        <v>341</v>
      </c>
      <c r="W3" s="243" t="s">
        <v>342</v>
      </c>
      <c r="X3" s="245"/>
      <c r="Y3" s="140" t="s">
        <v>343</v>
      </c>
      <c r="Z3" s="140" t="s">
        <v>344</v>
      </c>
      <c r="AA3" s="140" t="s">
        <v>345</v>
      </c>
      <c r="AB3" s="65"/>
    </row>
    <row r="4" spans="1:28" s="91" customFormat="1" ht="13.8" x14ac:dyDescent="0.3">
      <c r="A4" s="155"/>
      <c r="B4" s="156"/>
      <c r="C4" s="155"/>
      <c r="D4" s="157" t="s">
        <v>245</v>
      </c>
      <c r="E4" s="158" t="s">
        <v>346</v>
      </c>
      <c r="F4" s="158" t="s">
        <v>347</v>
      </c>
      <c r="G4" s="158" t="s">
        <v>348</v>
      </c>
      <c r="H4" s="157" t="s">
        <v>245</v>
      </c>
      <c r="I4" s="158" t="s">
        <v>6</v>
      </c>
      <c r="J4" s="158" t="s">
        <v>246</v>
      </c>
      <c r="K4" s="158" t="s">
        <v>247</v>
      </c>
      <c r="L4" s="158" t="s">
        <v>6</v>
      </c>
      <c r="M4" s="158" t="s">
        <v>246</v>
      </c>
      <c r="N4" s="158" t="s">
        <v>247</v>
      </c>
      <c r="O4" s="157" t="s">
        <v>245</v>
      </c>
      <c r="P4" s="157" t="s">
        <v>245</v>
      </c>
      <c r="Q4" s="159" t="s">
        <v>349</v>
      </c>
      <c r="R4" s="159" t="s">
        <v>349</v>
      </c>
      <c r="S4" s="160"/>
      <c r="T4" s="156"/>
      <c r="U4" s="159" t="s">
        <v>245</v>
      </c>
      <c r="V4" s="159" t="s">
        <v>245</v>
      </c>
      <c r="W4" s="161" t="s">
        <v>246</v>
      </c>
      <c r="X4" s="162" t="s">
        <v>247</v>
      </c>
      <c r="Y4" s="156"/>
      <c r="Z4" s="156"/>
      <c r="AA4" s="156"/>
      <c r="AB4" s="90"/>
    </row>
    <row r="5" spans="1:28" s="63" customFormat="1" ht="13.8" x14ac:dyDescent="0.3">
      <c r="A5" s="96" t="s">
        <v>356</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357</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358</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359</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360</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361</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362</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363</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364</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365</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366</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367</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368</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369</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370</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351</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4" t="s">
        <v>371</v>
      </c>
      <c r="B4" s="254"/>
      <c r="C4" s="254"/>
      <c r="D4" s="254"/>
      <c r="E4" s="254"/>
      <c r="F4" s="254"/>
      <c r="G4" s="254"/>
    </row>
    <row r="5" spans="1:7" ht="15" customHeight="1" x14ac:dyDescent="0.3">
      <c r="A5" s="125"/>
      <c r="B5" s="255" t="s">
        <v>377</v>
      </c>
      <c r="C5" s="256"/>
      <c r="D5" s="255" t="s">
        <v>378</v>
      </c>
      <c r="E5" s="256"/>
      <c r="F5" s="255" t="s">
        <v>379</v>
      </c>
      <c r="G5" s="256"/>
    </row>
    <row r="6" spans="1:7" ht="41.4" x14ac:dyDescent="0.3">
      <c r="A6" s="126"/>
      <c r="B6" s="105" t="s">
        <v>380</v>
      </c>
      <c r="C6" s="106" t="s">
        <v>381</v>
      </c>
      <c r="D6" s="105" t="s">
        <v>380</v>
      </c>
      <c r="E6" s="106" t="s">
        <v>382</v>
      </c>
      <c r="F6" s="105" t="s">
        <v>380</v>
      </c>
      <c r="G6" s="106" t="s">
        <v>383</v>
      </c>
    </row>
    <row r="7" spans="1:7" x14ac:dyDescent="0.3">
      <c r="A7" s="166" t="s">
        <v>372</v>
      </c>
      <c r="B7" s="211"/>
      <c r="C7" s="211"/>
      <c r="D7" s="211"/>
      <c r="E7" s="211"/>
      <c r="F7" s="211"/>
      <c r="G7" s="211"/>
    </row>
    <row r="8" spans="1:7" x14ac:dyDescent="0.3">
      <c r="A8" s="167" t="s">
        <v>373</v>
      </c>
      <c r="B8" s="211"/>
      <c r="C8" s="211"/>
      <c r="D8" s="211"/>
      <c r="E8" s="211"/>
      <c r="F8" s="211"/>
      <c r="G8" s="211"/>
    </row>
    <row r="9" spans="1:7" x14ac:dyDescent="0.3">
      <c r="A9" s="168" t="s">
        <v>374</v>
      </c>
      <c r="B9" s="211"/>
      <c r="C9" s="211"/>
      <c r="D9" s="211"/>
      <c r="E9" s="211"/>
      <c r="F9" s="211"/>
      <c r="G9" s="211"/>
    </row>
    <row r="10" spans="1:7" x14ac:dyDescent="0.3">
      <c r="A10" s="168" t="s">
        <v>375</v>
      </c>
      <c r="B10" s="211"/>
      <c r="C10" s="211"/>
      <c r="D10" s="211"/>
      <c r="E10" s="211"/>
      <c r="F10" s="211"/>
      <c r="G10" s="211"/>
    </row>
    <row r="11" spans="1:7" x14ac:dyDescent="0.3">
      <c r="A11" s="166" t="s">
        <v>376</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384</v>
      </c>
      <c r="B14" s="98"/>
      <c r="C14" s="98"/>
      <c r="D14" s="98"/>
      <c r="E14" s="98"/>
      <c r="F14" s="98"/>
      <c r="G14" s="98"/>
    </row>
    <row r="15" spans="1:7" x14ac:dyDescent="0.3">
      <c r="A15" s="124"/>
      <c r="B15" s="98"/>
      <c r="C15" s="98"/>
      <c r="D15" s="98"/>
      <c r="E15" s="98"/>
      <c r="F15" s="98"/>
      <c r="G15" s="98"/>
    </row>
    <row r="16" spans="1:7" ht="41.4" x14ac:dyDescent="0.3">
      <c r="A16" s="128"/>
      <c r="B16" s="107" t="s">
        <v>385</v>
      </c>
      <c r="C16" s="107" t="s">
        <v>386</v>
      </c>
      <c r="D16" s="107" t="s">
        <v>387</v>
      </c>
      <c r="E16" s="107" t="s">
        <v>388</v>
      </c>
      <c r="F16" s="98"/>
      <c r="G16" s="98"/>
    </row>
    <row r="17" spans="1:17" x14ac:dyDescent="0.3">
      <c r="A17" s="169" t="s">
        <v>389</v>
      </c>
      <c r="B17" s="108"/>
      <c r="C17" s="108"/>
      <c r="D17" s="108"/>
      <c r="E17" s="108"/>
      <c r="F17" s="98"/>
      <c r="G17" s="98"/>
    </row>
    <row r="18" spans="1:17" x14ac:dyDescent="0.3">
      <c r="A18" s="169" t="s">
        <v>390</v>
      </c>
      <c r="B18" s="108"/>
      <c r="C18" s="108"/>
      <c r="D18" s="108"/>
      <c r="E18" s="108"/>
      <c r="F18" s="98"/>
      <c r="G18" s="98"/>
    </row>
    <row r="19" spans="1:17" x14ac:dyDescent="0.3">
      <c r="A19" s="169" t="s">
        <v>391</v>
      </c>
      <c r="B19" s="108"/>
      <c r="C19" s="108"/>
      <c r="D19" s="108"/>
      <c r="E19" s="108"/>
      <c r="F19" s="98"/>
      <c r="G19" s="98"/>
    </row>
    <row r="20" spans="1:17" x14ac:dyDescent="0.3">
      <c r="A20" s="169" t="s">
        <v>392</v>
      </c>
      <c r="B20" s="108"/>
      <c r="C20" s="108"/>
      <c r="D20" s="108"/>
      <c r="E20" s="108"/>
      <c r="F20" s="98"/>
      <c r="G20" s="98"/>
    </row>
    <row r="21" spans="1:17" x14ac:dyDescent="0.3">
      <c r="A21" s="170" t="s">
        <v>393</v>
      </c>
      <c r="B21" s="108"/>
      <c r="C21" s="108"/>
      <c r="D21" s="108"/>
      <c r="E21" s="108"/>
      <c r="F21" s="98"/>
      <c r="G21" s="98"/>
    </row>
    <row r="22" spans="1:17" x14ac:dyDescent="0.3">
      <c r="A22" s="170" t="s">
        <v>394</v>
      </c>
      <c r="B22" s="108"/>
      <c r="C22" s="108"/>
      <c r="D22" s="108"/>
      <c r="E22" s="108"/>
      <c r="F22" s="98"/>
      <c r="G22" s="98"/>
    </row>
    <row r="23" spans="1:17" x14ac:dyDescent="0.3">
      <c r="A23" s="170" t="s">
        <v>395</v>
      </c>
      <c r="B23" s="108"/>
      <c r="C23" s="108"/>
      <c r="D23" s="108"/>
      <c r="E23" s="108"/>
      <c r="F23" s="98"/>
      <c r="G23" s="98"/>
    </row>
    <row r="24" spans="1:17" x14ac:dyDescent="0.3">
      <c r="A24" s="170" t="s">
        <v>396</v>
      </c>
      <c r="B24" s="108"/>
      <c r="C24" s="108"/>
      <c r="D24" s="108"/>
      <c r="E24" s="108"/>
      <c r="F24" s="98"/>
      <c r="G24" s="98"/>
    </row>
    <row r="25" spans="1:17" x14ac:dyDescent="0.3">
      <c r="A25" s="170" t="s">
        <v>397</v>
      </c>
      <c r="B25" s="108"/>
      <c r="C25" s="108"/>
      <c r="D25" s="108"/>
      <c r="E25" s="108"/>
      <c r="F25" s="98"/>
      <c r="G25" s="98"/>
    </row>
    <row r="26" spans="1:17" x14ac:dyDescent="0.3">
      <c r="A26" s="169" t="s">
        <v>398</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7"/>
      <c r="C28" s="257"/>
      <c r="D28" s="88" t="s">
        <v>17</v>
      </c>
      <c r="E28" s="257"/>
      <c r="F28" s="257"/>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399</v>
      </c>
      <c r="B2" s="87" t="s">
        <v>218</v>
      </c>
      <c r="C2" s="86" t="s">
        <v>377</v>
      </c>
      <c r="D2" s="86" t="s">
        <v>223</v>
      </c>
      <c r="E2" s="86" t="s">
        <v>1</v>
      </c>
      <c r="F2" s="86" t="s">
        <v>425</v>
      </c>
      <c r="G2" s="86" t="s">
        <v>428</v>
      </c>
      <c r="H2" s="86" t="s">
        <v>430</v>
      </c>
      <c r="I2" s="79" t="s">
        <v>433</v>
      </c>
      <c r="J2" s="86" t="s">
        <v>437</v>
      </c>
      <c r="K2" s="79" t="s">
        <v>435</v>
      </c>
      <c r="L2" s="86" t="s">
        <v>439</v>
      </c>
      <c r="M2" s="79" t="s">
        <v>444</v>
      </c>
      <c r="N2" s="79" t="s">
        <v>10</v>
      </c>
      <c r="O2" s="79" t="s">
        <v>445</v>
      </c>
      <c r="P2" s="109" t="s">
        <v>198</v>
      </c>
      <c r="Q2" s="110" t="s">
        <v>198</v>
      </c>
    </row>
    <row r="3" spans="1:17" ht="37.5" customHeight="1" x14ac:dyDescent="0.3">
      <c r="A3" s="86" t="s">
        <v>400</v>
      </c>
      <c r="B3" s="87" t="s">
        <v>402</v>
      </c>
      <c r="C3" s="86" t="s">
        <v>409</v>
      </c>
      <c r="D3" s="86" t="s">
        <v>420</v>
      </c>
      <c r="E3" s="86" t="s">
        <v>423</v>
      </c>
      <c r="F3" s="86" t="s">
        <v>426</v>
      </c>
      <c r="G3" s="86" t="s">
        <v>429</v>
      </c>
      <c r="H3" s="86" t="s">
        <v>431</v>
      </c>
      <c r="I3" s="79" t="s">
        <v>434</v>
      </c>
      <c r="J3" s="86" t="s">
        <v>438</v>
      </c>
      <c r="K3" s="79" t="s">
        <v>436</v>
      </c>
      <c r="L3" s="86" t="s">
        <v>440</v>
      </c>
      <c r="M3" s="79" t="s">
        <v>442</v>
      </c>
      <c r="N3" s="79"/>
      <c r="O3" s="86" t="s">
        <v>446</v>
      </c>
      <c r="P3" s="109" t="s">
        <v>456</v>
      </c>
      <c r="Q3" s="110" t="s">
        <v>456</v>
      </c>
    </row>
    <row r="4" spans="1:17" ht="37.5" customHeight="1" x14ac:dyDescent="0.3">
      <c r="A4" s="86" t="s">
        <v>401</v>
      </c>
      <c r="B4" s="87" t="s">
        <v>403</v>
      </c>
      <c r="C4" s="86" t="s">
        <v>410</v>
      </c>
      <c r="D4" s="86" t="s">
        <v>421</v>
      </c>
      <c r="E4" s="86" t="s">
        <v>424</v>
      </c>
      <c r="F4" s="86" t="s">
        <v>427</v>
      </c>
      <c r="G4" s="79"/>
      <c r="H4" s="86" t="s">
        <v>432</v>
      </c>
      <c r="I4" s="79"/>
      <c r="J4" s="79"/>
      <c r="K4" s="79"/>
      <c r="L4" s="86" t="s">
        <v>441</v>
      </c>
      <c r="M4" s="79" t="s">
        <v>9</v>
      </c>
      <c r="N4" s="79"/>
      <c r="O4" s="79" t="s">
        <v>447</v>
      </c>
      <c r="P4" s="109" t="s">
        <v>249</v>
      </c>
      <c r="Q4" s="110" t="s">
        <v>249</v>
      </c>
    </row>
    <row r="5" spans="1:17" ht="37.5" customHeight="1" x14ac:dyDescent="0.3">
      <c r="A5" s="79"/>
      <c r="B5" s="87" t="s">
        <v>404</v>
      </c>
      <c r="C5" s="86" t="s">
        <v>411</v>
      </c>
      <c r="D5" s="86" t="s">
        <v>422</v>
      </c>
      <c r="E5" s="79"/>
      <c r="F5" s="79"/>
      <c r="G5" s="79"/>
      <c r="H5" s="79"/>
      <c r="I5" s="79"/>
      <c r="J5" s="79"/>
      <c r="K5" s="79"/>
      <c r="L5" s="79"/>
      <c r="M5" s="79" t="s">
        <v>443</v>
      </c>
      <c r="N5" s="79"/>
      <c r="O5" s="86" t="s">
        <v>448</v>
      </c>
      <c r="P5" s="109" t="s">
        <v>250</v>
      </c>
      <c r="Q5" s="110" t="s">
        <v>250</v>
      </c>
    </row>
    <row r="6" spans="1:17" ht="37.5" customHeight="1" x14ac:dyDescent="0.3">
      <c r="A6" s="79"/>
      <c r="B6" s="87" t="s">
        <v>405</v>
      </c>
      <c r="C6" s="86" t="s">
        <v>412</v>
      </c>
      <c r="D6" s="79"/>
      <c r="E6" s="79"/>
      <c r="F6" s="79"/>
      <c r="G6" s="79"/>
      <c r="H6" s="79"/>
      <c r="I6" s="79"/>
      <c r="J6" s="79"/>
      <c r="K6" s="79"/>
      <c r="L6" s="79"/>
      <c r="M6" s="79"/>
      <c r="N6" s="79"/>
      <c r="O6" s="86" t="s">
        <v>449</v>
      </c>
      <c r="P6" s="109" t="s">
        <v>251</v>
      </c>
      <c r="Q6" s="110" t="s">
        <v>251</v>
      </c>
    </row>
    <row r="7" spans="1:17" ht="37.5" customHeight="1" x14ac:dyDescent="0.3">
      <c r="A7" s="79"/>
      <c r="B7" s="87" t="s">
        <v>227</v>
      </c>
      <c r="C7" s="86" t="s">
        <v>413</v>
      </c>
      <c r="D7" s="79"/>
      <c r="E7" s="79"/>
      <c r="F7" s="53"/>
      <c r="I7" s="79"/>
      <c r="J7" s="79"/>
      <c r="K7" s="79"/>
      <c r="L7" s="79"/>
      <c r="M7" s="79"/>
      <c r="N7" s="79"/>
      <c r="O7" s="86" t="s">
        <v>450</v>
      </c>
      <c r="P7" s="109" t="s">
        <v>252</v>
      </c>
      <c r="Q7" s="110" t="s">
        <v>252</v>
      </c>
    </row>
    <row r="8" spans="1:17" ht="37.5" customHeight="1" x14ac:dyDescent="0.3">
      <c r="A8" s="79"/>
      <c r="B8" s="87" t="s">
        <v>226</v>
      </c>
      <c r="C8" s="86" t="s">
        <v>414</v>
      </c>
      <c r="D8" s="79"/>
      <c r="E8" s="79"/>
      <c r="F8" s="53"/>
      <c r="I8" s="79"/>
      <c r="J8" s="79"/>
      <c r="K8" s="79"/>
      <c r="L8" s="79"/>
      <c r="M8" s="79"/>
      <c r="N8" s="79"/>
      <c r="O8" s="86" t="s">
        <v>451</v>
      </c>
      <c r="P8" s="109" t="s">
        <v>253</v>
      </c>
      <c r="Q8" s="110" t="s">
        <v>253</v>
      </c>
    </row>
    <row r="9" spans="1:17" ht="37.5" customHeight="1" x14ac:dyDescent="0.3">
      <c r="A9" s="79"/>
      <c r="B9" s="87" t="s">
        <v>223</v>
      </c>
      <c r="C9" s="86" t="s">
        <v>415</v>
      </c>
      <c r="D9" s="79"/>
      <c r="E9" s="79"/>
      <c r="F9" s="53"/>
      <c r="I9" s="79"/>
      <c r="J9" s="79"/>
      <c r="K9" s="79"/>
      <c r="L9" s="79"/>
      <c r="M9" s="79"/>
      <c r="N9" s="79"/>
      <c r="O9" s="86" t="s">
        <v>452</v>
      </c>
      <c r="P9" s="109" t="s">
        <v>254</v>
      </c>
      <c r="Q9" s="110" t="s">
        <v>254</v>
      </c>
    </row>
    <row r="10" spans="1:17" ht="37.5" customHeight="1" x14ac:dyDescent="0.3">
      <c r="A10" s="79"/>
      <c r="B10" s="87" t="s">
        <v>224</v>
      </c>
      <c r="C10" s="86" t="s">
        <v>416</v>
      </c>
      <c r="D10" s="79"/>
      <c r="E10" s="79"/>
      <c r="F10" s="53"/>
      <c r="I10" s="79"/>
      <c r="J10" s="79"/>
      <c r="K10" s="79"/>
      <c r="L10" s="79"/>
      <c r="M10" s="79"/>
      <c r="N10" s="79"/>
      <c r="O10" s="86" t="s">
        <v>453</v>
      </c>
      <c r="P10" s="109" t="s">
        <v>255</v>
      </c>
      <c r="Q10" s="110" t="s">
        <v>255</v>
      </c>
    </row>
    <row r="11" spans="1:17" ht="37.5" customHeight="1" x14ac:dyDescent="0.3">
      <c r="A11" s="79"/>
      <c r="B11" s="87" t="s">
        <v>406</v>
      </c>
      <c r="C11" s="86" t="s">
        <v>419</v>
      </c>
      <c r="D11" s="79"/>
      <c r="E11" s="79"/>
      <c r="F11" s="53"/>
      <c r="I11" s="79"/>
      <c r="J11" s="79"/>
      <c r="K11" s="79"/>
      <c r="L11" s="79"/>
      <c r="M11" s="79"/>
      <c r="N11" s="79"/>
      <c r="O11" s="86" t="s">
        <v>454</v>
      </c>
      <c r="P11" s="109" t="s">
        <v>256</v>
      </c>
      <c r="Q11" s="110" t="s">
        <v>256</v>
      </c>
    </row>
    <row r="12" spans="1:17" ht="37.5" customHeight="1" x14ac:dyDescent="0.3">
      <c r="A12" s="79"/>
      <c r="B12" s="87" t="s">
        <v>407</v>
      </c>
      <c r="C12" s="86" t="s">
        <v>417</v>
      </c>
      <c r="D12" s="79"/>
      <c r="E12" s="79"/>
      <c r="F12" s="53"/>
      <c r="I12" s="79"/>
      <c r="J12" s="79"/>
      <c r="K12" s="79"/>
      <c r="L12" s="79"/>
      <c r="M12" s="79"/>
      <c r="N12" s="79"/>
      <c r="O12" s="86" t="s">
        <v>455</v>
      </c>
      <c r="P12" s="109" t="s">
        <v>257</v>
      </c>
      <c r="Q12" s="110" t="s">
        <v>257</v>
      </c>
    </row>
    <row r="13" spans="1:17" ht="37.5" customHeight="1" x14ac:dyDescent="0.3">
      <c r="B13" s="87" t="s">
        <v>408</v>
      </c>
      <c r="C13" s="86" t="s">
        <v>418</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326</v>
      </c>
      <c r="Q44" s="110" t="s">
        <v>289</v>
      </c>
    </row>
    <row r="45" spans="1:17" ht="13.8" x14ac:dyDescent="0.3">
      <c r="A45" s="120"/>
      <c r="B45" s="120"/>
      <c r="C45" s="120"/>
      <c r="D45" s="120"/>
      <c r="E45" s="120"/>
      <c r="F45" s="121"/>
      <c r="G45" s="120"/>
      <c r="H45" s="120"/>
      <c r="P45" s="109" t="s">
        <v>199</v>
      </c>
      <c r="Q45" s="110" t="s">
        <v>457</v>
      </c>
    </row>
    <row r="46" spans="1:17" ht="13.8" x14ac:dyDescent="0.3">
      <c r="A46" s="120"/>
      <c r="B46" s="120"/>
      <c r="C46" s="120"/>
      <c r="D46" s="120"/>
      <c r="E46" s="120"/>
      <c r="F46" s="121"/>
      <c r="G46" s="120"/>
      <c r="H46" s="120"/>
      <c r="Q46" s="110" t="s">
        <v>458</v>
      </c>
    </row>
    <row r="47" spans="1:17" ht="13.8" x14ac:dyDescent="0.3">
      <c r="A47" s="120"/>
      <c r="B47" s="120"/>
      <c r="C47" s="120"/>
      <c r="D47" s="120"/>
      <c r="E47" s="120"/>
      <c r="F47" s="121"/>
      <c r="G47" s="120"/>
      <c r="H47" s="120"/>
      <c r="Q47" s="110" t="s">
        <v>459</v>
      </c>
    </row>
    <row r="48" spans="1:17" x14ac:dyDescent="0.3">
      <c r="Q48" s="110" t="s">
        <v>460</v>
      </c>
    </row>
    <row r="49" spans="17:17" x14ac:dyDescent="0.3">
      <c r="Q49" s="110" t="s">
        <v>461</v>
      </c>
    </row>
    <row r="50" spans="17:17" x14ac:dyDescent="0.3">
      <c r="Q50" s="110" t="s">
        <v>462</v>
      </c>
    </row>
    <row r="51" spans="17:17" x14ac:dyDescent="0.3">
      <c r="Q51" s="110" t="s">
        <v>463</v>
      </c>
    </row>
    <row r="52" spans="17:17" x14ac:dyDescent="0.3">
      <c r="Q52" s="110" t="s">
        <v>464</v>
      </c>
    </row>
    <row r="53" spans="17:17" x14ac:dyDescent="0.3">
      <c r="Q53" s="110" t="s">
        <v>465</v>
      </c>
    </row>
    <row r="54" spans="17:17" x14ac:dyDescent="0.3">
      <c r="Q54" s="110" t="s">
        <v>466</v>
      </c>
    </row>
    <row r="55" spans="17:17" x14ac:dyDescent="0.3">
      <c r="Q55" s="110" t="s">
        <v>467</v>
      </c>
    </row>
    <row r="56" spans="17:17" x14ac:dyDescent="0.3">
      <c r="Q56" s="110" t="s">
        <v>468</v>
      </c>
    </row>
    <row r="57" spans="17:17" x14ac:dyDescent="0.3">
      <c r="Q57" s="110" t="s">
        <v>469</v>
      </c>
    </row>
    <row r="58" spans="17:17" x14ac:dyDescent="0.3">
      <c r="Q58" s="110" t="s">
        <v>470</v>
      </c>
    </row>
    <row r="59" spans="17:17" x14ac:dyDescent="0.3">
      <c r="Q59" s="110" t="s">
        <v>471</v>
      </c>
    </row>
    <row r="60" spans="17:17" x14ac:dyDescent="0.3">
      <c r="Q60" s="110" t="s">
        <v>472</v>
      </c>
    </row>
    <row r="61" spans="17:17" x14ac:dyDescent="0.3">
      <c r="Q61" s="110" t="s">
        <v>473</v>
      </c>
    </row>
    <row r="62" spans="17:17" x14ac:dyDescent="0.3">
      <c r="Q62" s="110" t="s">
        <v>474</v>
      </c>
    </row>
    <row r="63" spans="17:17" x14ac:dyDescent="0.3">
      <c r="Q63" s="110" t="s">
        <v>475</v>
      </c>
    </row>
    <row r="64" spans="17:17" x14ac:dyDescent="0.3">
      <c r="Q64" s="110" t="s">
        <v>476</v>
      </c>
    </row>
    <row r="65" spans="17:17" x14ac:dyDescent="0.3">
      <c r="Q65" s="110" t="s">
        <v>477</v>
      </c>
    </row>
    <row r="66" spans="17:17" x14ac:dyDescent="0.3">
      <c r="Q66" s="110" t="s">
        <v>478</v>
      </c>
    </row>
    <row r="67" spans="17:17" x14ac:dyDescent="0.3">
      <c r="Q67" s="110" t="s">
        <v>479</v>
      </c>
    </row>
    <row r="68" spans="17:17" x14ac:dyDescent="0.3">
      <c r="Q68" s="110" t="s">
        <v>480</v>
      </c>
    </row>
    <row r="69" spans="17:17" x14ac:dyDescent="0.3">
      <c r="Q69" s="110" t="s">
        <v>481</v>
      </c>
    </row>
    <row r="70" spans="17:17" x14ac:dyDescent="0.3">
      <c r="Q70" s="110" t="s">
        <v>482</v>
      </c>
    </row>
    <row r="71" spans="17:17" x14ac:dyDescent="0.3">
      <c r="Q71" s="110" t="s">
        <v>483</v>
      </c>
    </row>
    <row r="72" spans="17:17" x14ac:dyDescent="0.3">
      <c r="Q72" s="110" t="s">
        <v>484</v>
      </c>
    </row>
    <row r="73" spans="17:17" x14ac:dyDescent="0.3">
      <c r="Q73" s="110" t="s">
        <v>485</v>
      </c>
    </row>
    <row r="74" spans="17:17" x14ac:dyDescent="0.3">
      <c r="Q74" s="110" t="s">
        <v>486</v>
      </c>
    </row>
    <row r="75" spans="17:17" x14ac:dyDescent="0.3">
      <c r="Q75" s="110" t="s">
        <v>487</v>
      </c>
    </row>
    <row r="76" spans="17:17" x14ac:dyDescent="0.3">
      <c r="Q76" s="110" t="s">
        <v>488</v>
      </c>
    </row>
    <row r="77" spans="17:17" x14ac:dyDescent="0.3">
      <c r="Q77" s="110" t="s">
        <v>489</v>
      </c>
    </row>
    <row r="78" spans="17:17" x14ac:dyDescent="0.3">
      <c r="Q78" s="110" t="s">
        <v>490</v>
      </c>
    </row>
    <row r="79" spans="17:17" x14ac:dyDescent="0.3">
      <c r="Q79" s="110" t="s">
        <v>491</v>
      </c>
    </row>
    <row r="80" spans="17:17" x14ac:dyDescent="0.3">
      <c r="Q80" s="110" t="s">
        <v>492</v>
      </c>
    </row>
    <row r="81" spans="17:17" x14ac:dyDescent="0.3">
      <c r="Q81" s="110" t="s">
        <v>493</v>
      </c>
    </row>
    <row r="82" spans="17:17" x14ac:dyDescent="0.3">
      <c r="Q82" s="110" t="s">
        <v>494</v>
      </c>
    </row>
    <row r="83" spans="17:17" x14ac:dyDescent="0.3">
      <c r="Q83" s="110" t="s">
        <v>495</v>
      </c>
    </row>
    <row r="84" spans="17:17" x14ac:dyDescent="0.3">
      <c r="Q84" s="110" t="s">
        <v>496</v>
      </c>
    </row>
    <row r="85" spans="17:17" x14ac:dyDescent="0.3">
      <c r="Q85" s="110" t="s">
        <v>497</v>
      </c>
    </row>
    <row r="86" spans="17:17" x14ac:dyDescent="0.3">
      <c r="Q86" s="110" t="s">
        <v>498</v>
      </c>
    </row>
    <row r="87" spans="17:17" x14ac:dyDescent="0.3">
      <c r="Q87" s="110" t="s">
        <v>499</v>
      </c>
    </row>
    <row r="88" spans="17:17" x14ac:dyDescent="0.3">
      <c r="Q88" s="110" t="s">
        <v>500</v>
      </c>
    </row>
    <row r="89" spans="17:17" x14ac:dyDescent="0.3">
      <c r="Q89" s="110" t="s">
        <v>501</v>
      </c>
    </row>
    <row r="90" spans="17:17" x14ac:dyDescent="0.3">
      <c r="Q90" s="110" t="s">
        <v>502</v>
      </c>
    </row>
    <row r="91" spans="17:17" x14ac:dyDescent="0.3">
      <c r="Q91" s="110" t="s">
        <v>503</v>
      </c>
    </row>
    <row r="92" spans="17:17" x14ac:dyDescent="0.3">
      <c r="Q92" s="110" t="s">
        <v>504</v>
      </c>
    </row>
    <row r="93" spans="17:17" x14ac:dyDescent="0.3">
      <c r="Q93" s="110" t="s">
        <v>505</v>
      </c>
    </row>
    <row r="94" spans="17:17" x14ac:dyDescent="0.3">
      <c r="Q94" s="110" t="s">
        <v>506</v>
      </c>
    </row>
    <row r="95" spans="17:17" x14ac:dyDescent="0.3">
      <c r="Q95" s="110" t="s">
        <v>507</v>
      </c>
    </row>
    <row r="96" spans="17:17" x14ac:dyDescent="0.3">
      <c r="Q96" s="110" t="s">
        <v>508</v>
      </c>
    </row>
    <row r="97" spans="17:17" x14ac:dyDescent="0.3">
      <c r="Q97" s="110" t="s">
        <v>509</v>
      </c>
    </row>
    <row r="98" spans="17:17" x14ac:dyDescent="0.3">
      <c r="Q98" s="110" t="s">
        <v>510</v>
      </c>
    </row>
    <row r="99" spans="17:17" x14ac:dyDescent="0.3">
      <c r="Q99" s="110" t="s">
        <v>511</v>
      </c>
    </row>
    <row r="100" spans="17:17" x14ac:dyDescent="0.3">
      <c r="Q100" s="110" t="s">
        <v>512</v>
      </c>
    </row>
    <row r="101" spans="17:17" x14ac:dyDescent="0.3">
      <c r="Q101" s="110" t="s">
        <v>513</v>
      </c>
    </row>
    <row r="102" spans="17:17" x14ac:dyDescent="0.3">
      <c r="Q102" s="110" t="s">
        <v>514</v>
      </c>
    </row>
    <row r="103" spans="17:17" x14ac:dyDescent="0.3">
      <c r="Q103" s="110" t="s">
        <v>515</v>
      </c>
    </row>
    <row r="104" spans="17:17" x14ac:dyDescent="0.3">
      <c r="Q104" s="110" t="s">
        <v>326</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519</v>
      </c>
      <c r="B9" s="214"/>
      <c r="C9" s="214"/>
      <c r="D9" s="215"/>
    </row>
    <row r="10" spans="1:4" x14ac:dyDescent="0.3">
      <c r="A10" s="216" t="s">
        <v>520</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521</v>
      </c>
      <c r="B24" s="11"/>
      <c r="C24" s="11"/>
      <c r="D24" s="11"/>
    </row>
    <row r="25" spans="1:4" x14ac:dyDescent="0.3">
      <c r="A25" s="14" t="s">
        <v>522</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58" t="s">
        <v>163</v>
      </c>
      <c r="G1" s="258"/>
      <c r="H1" s="258"/>
      <c r="I1" s="259" t="s">
        <v>164</v>
      </c>
      <c r="J1" s="259"/>
      <c r="K1" s="259"/>
      <c r="L1" s="260" t="s">
        <v>148</v>
      </c>
      <c r="M1" s="260"/>
      <c r="N1" s="260"/>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64" t="s">
        <v>161</v>
      </c>
      <c r="G3" s="264"/>
      <c r="H3" s="264"/>
      <c r="I3" s="42">
        <f>'ADDITIONAL statistics for SDGs'!B9</f>
        <v>0</v>
      </c>
      <c r="J3" s="43" t="s">
        <v>18</v>
      </c>
      <c r="K3" s="43" t="s">
        <v>18</v>
      </c>
      <c r="L3" s="44" t="e">
        <f>20294/I3</f>
        <v>#DIV/0!</v>
      </c>
      <c r="M3" s="43" t="s">
        <v>18</v>
      </c>
      <c r="N3" s="43" t="s">
        <v>18</v>
      </c>
    </row>
    <row r="4" spans="1:14" ht="43.2" x14ac:dyDescent="0.3">
      <c r="A4" s="261"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1"/>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1"/>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1"/>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1"/>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1"/>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1"/>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1"/>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2"/>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1"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1"/>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1"/>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1"/>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1"/>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1"/>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1"/>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1"/>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1"/>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1"/>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1"/>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1"/>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1"/>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1"/>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2"/>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1" t="s">
        <v>118</v>
      </c>
      <c r="B30" s="6" t="s">
        <v>119</v>
      </c>
      <c r="C30" s="263" t="s">
        <v>120</v>
      </c>
      <c r="D30" s="6"/>
      <c r="E30" s="6"/>
      <c r="F30" s="31"/>
      <c r="G30" s="33"/>
      <c r="H30" s="33"/>
      <c r="I30" s="31"/>
      <c r="J30" s="31"/>
      <c r="K30" s="31"/>
      <c r="L30" s="34"/>
      <c r="M30" s="34"/>
      <c r="N30" s="34"/>
    </row>
    <row r="31" spans="1:14" x14ac:dyDescent="0.3">
      <c r="A31" s="261"/>
      <c r="B31" s="7" t="s">
        <v>3</v>
      </c>
      <c r="C31" s="263"/>
      <c r="D31" s="6" t="s">
        <v>121</v>
      </c>
      <c r="E31" s="6" t="s">
        <v>122</v>
      </c>
      <c r="F31" s="31"/>
      <c r="G31" s="31"/>
      <c r="H31" s="31"/>
      <c r="I31" s="31">
        <f>'ADDITIONAL statistics for SDGs'!$B$31</f>
        <v>0</v>
      </c>
      <c r="J31" s="31"/>
      <c r="K31" s="31"/>
      <c r="L31" s="34" t="e">
        <f t="shared" ref="L31:L39" si="4">F31/I31</f>
        <v>#DIV/0!</v>
      </c>
      <c r="M31" s="31"/>
      <c r="N31" s="31"/>
    </row>
    <row r="32" spans="1:14" x14ac:dyDescent="0.3">
      <c r="A32" s="261"/>
      <c r="B32" s="7" t="s">
        <v>4</v>
      </c>
      <c r="C32" s="263"/>
      <c r="D32" s="6" t="s">
        <v>123</v>
      </c>
      <c r="E32" s="6" t="s">
        <v>122</v>
      </c>
      <c r="F32" s="31"/>
      <c r="G32" s="31"/>
      <c r="H32" s="31"/>
      <c r="I32" s="31">
        <f>'ADDITIONAL statistics for SDGs'!$B$31</f>
        <v>0</v>
      </c>
      <c r="J32" s="31"/>
      <c r="K32" s="31"/>
      <c r="L32" s="34" t="e">
        <f t="shared" si="4"/>
        <v>#DIV/0!</v>
      </c>
      <c r="M32" s="31"/>
      <c r="N32" s="31"/>
    </row>
    <row r="33" spans="1:14" x14ac:dyDescent="0.3">
      <c r="A33" s="261"/>
      <c r="B33" s="7" t="s">
        <v>11</v>
      </c>
      <c r="C33" s="263"/>
      <c r="D33" s="6" t="s">
        <v>124</v>
      </c>
      <c r="E33" s="6" t="s">
        <v>122</v>
      </c>
      <c r="F33" s="31"/>
      <c r="G33" s="31"/>
      <c r="H33" s="31"/>
      <c r="I33" s="31">
        <f>'ADDITIONAL statistics for SDGs'!$B$31</f>
        <v>0</v>
      </c>
      <c r="J33" s="31"/>
      <c r="K33" s="31"/>
      <c r="L33" s="34" t="e">
        <f t="shared" si="4"/>
        <v>#DIV/0!</v>
      </c>
      <c r="M33" s="31"/>
      <c r="N33" s="31"/>
    </row>
    <row r="34" spans="1:14" x14ac:dyDescent="0.3">
      <c r="A34" s="261"/>
      <c r="B34" s="7" t="s">
        <v>5</v>
      </c>
      <c r="C34" s="263"/>
      <c r="D34" s="6" t="s">
        <v>125</v>
      </c>
      <c r="E34" s="6" t="s">
        <v>122</v>
      </c>
      <c r="F34" s="31"/>
      <c r="G34" s="31"/>
      <c r="H34" s="31"/>
      <c r="I34" s="31">
        <f>'ADDITIONAL statistics for SDGs'!$B$31</f>
        <v>0</v>
      </c>
      <c r="J34" s="31"/>
      <c r="K34" s="31"/>
      <c r="L34" s="34" t="e">
        <f t="shared" si="4"/>
        <v>#DIV/0!</v>
      </c>
      <c r="M34" s="31"/>
      <c r="N34" s="31"/>
    </row>
    <row r="35" spans="1:14" ht="28.8" x14ac:dyDescent="0.3">
      <c r="A35" s="261"/>
      <c r="B35" s="6" t="s">
        <v>126</v>
      </c>
      <c r="C35" s="265" t="s">
        <v>127</v>
      </c>
      <c r="D35" s="6"/>
      <c r="E35" s="6"/>
      <c r="F35" s="31"/>
      <c r="G35" s="31"/>
      <c r="H35" s="31"/>
      <c r="I35" s="31"/>
      <c r="J35" s="31"/>
      <c r="K35" s="31"/>
      <c r="L35" s="34"/>
      <c r="M35" s="31"/>
      <c r="N35" s="31"/>
    </row>
    <row r="36" spans="1:14" x14ac:dyDescent="0.3">
      <c r="A36" s="261"/>
      <c r="B36" s="7" t="s">
        <v>3</v>
      </c>
      <c r="C36" s="266"/>
      <c r="D36" s="6" t="s">
        <v>128</v>
      </c>
      <c r="E36" s="6" t="s">
        <v>129</v>
      </c>
      <c r="F36" s="31"/>
      <c r="G36" s="33"/>
      <c r="H36" s="33"/>
      <c r="I36" s="33">
        <f>'ADDITIONAL statistics for SDGs'!$B$30</f>
        <v>0</v>
      </c>
      <c r="J36" s="33"/>
      <c r="K36" s="33"/>
      <c r="L36" s="34" t="e">
        <f t="shared" si="4"/>
        <v>#DIV/0!</v>
      </c>
      <c r="M36" s="33"/>
      <c r="N36" s="33"/>
    </row>
    <row r="37" spans="1:14" x14ac:dyDescent="0.3">
      <c r="A37" s="261"/>
      <c r="B37" s="7" t="s">
        <v>4</v>
      </c>
      <c r="C37" s="266"/>
      <c r="D37" s="6" t="s">
        <v>130</v>
      </c>
      <c r="E37" s="6" t="s">
        <v>129</v>
      </c>
      <c r="F37" s="31"/>
      <c r="G37" s="33"/>
      <c r="H37" s="33"/>
      <c r="I37" s="33">
        <f>'ADDITIONAL statistics for SDGs'!B30</f>
        <v>0</v>
      </c>
      <c r="J37" s="33"/>
      <c r="K37" s="33"/>
      <c r="L37" s="34" t="e">
        <f t="shared" si="4"/>
        <v>#DIV/0!</v>
      </c>
      <c r="M37" s="33"/>
      <c r="N37" s="33"/>
    </row>
    <row r="38" spans="1:14" x14ac:dyDescent="0.3">
      <c r="A38" s="261"/>
      <c r="B38" s="7" t="s">
        <v>11</v>
      </c>
      <c r="C38" s="266"/>
      <c r="D38" s="6" t="s">
        <v>131</v>
      </c>
      <c r="E38" s="6" t="s">
        <v>129</v>
      </c>
      <c r="F38" s="31"/>
      <c r="G38" s="33"/>
      <c r="H38" s="33"/>
      <c r="I38" s="33">
        <f>'ADDITIONAL statistics for SDGs'!B30</f>
        <v>0</v>
      </c>
      <c r="J38" s="33"/>
      <c r="K38" s="33"/>
      <c r="L38" s="34" t="e">
        <f t="shared" si="4"/>
        <v>#DIV/0!</v>
      </c>
      <c r="M38" s="33"/>
      <c r="N38" s="33"/>
    </row>
    <row r="39" spans="1:14" x14ac:dyDescent="0.3">
      <c r="A39" s="261"/>
      <c r="B39" s="7" t="s">
        <v>5</v>
      </c>
      <c r="C39" s="266"/>
      <c r="D39" s="6" t="s">
        <v>132</v>
      </c>
      <c r="E39" s="6" t="s">
        <v>129</v>
      </c>
      <c r="F39" s="31"/>
      <c r="G39" s="33"/>
      <c r="H39" s="33"/>
      <c r="I39" s="33">
        <f>'ADDITIONAL statistics for SDGs'!B30</f>
        <v>0</v>
      </c>
      <c r="J39" s="33"/>
      <c r="K39" s="33"/>
      <c r="L39" s="34" t="e">
        <f t="shared" si="4"/>
        <v>#DIV/0!</v>
      </c>
      <c r="M39" s="33"/>
      <c r="N39" s="33"/>
    </row>
    <row r="40" spans="1:14" x14ac:dyDescent="0.3">
      <c r="A40" s="261"/>
      <c r="C40" s="267"/>
      <c r="D40" s="6"/>
      <c r="E40" s="6"/>
      <c r="F40" s="31"/>
      <c r="G40" s="33"/>
      <c r="H40" s="33"/>
      <c r="I40" s="33"/>
      <c r="J40" s="33"/>
      <c r="K40" s="33"/>
      <c r="L40" s="34"/>
      <c r="M40" s="33"/>
      <c r="N40" s="33"/>
    </row>
    <row r="41" spans="1:14" ht="28.8" x14ac:dyDescent="0.3">
      <c r="A41" s="261"/>
      <c r="B41" s="6" t="s">
        <v>133</v>
      </c>
      <c r="C41" s="263" t="s">
        <v>173</v>
      </c>
      <c r="D41" s="6"/>
      <c r="E41" s="6"/>
      <c r="F41" s="31"/>
      <c r="G41" s="33"/>
      <c r="H41" s="33"/>
      <c r="I41" s="33"/>
      <c r="J41" s="33"/>
      <c r="K41" s="33"/>
      <c r="L41" s="34"/>
      <c r="M41" s="33"/>
      <c r="N41" s="33"/>
    </row>
    <row r="42" spans="1:14" x14ac:dyDescent="0.3">
      <c r="A42" s="261"/>
      <c r="B42" s="7" t="s">
        <v>3</v>
      </c>
      <c r="C42" s="263"/>
      <c r="D42" s="6" t="s">
        <v>134</v>
      </c>
      <c r="E42" s="6" t="s">
        <v>135</v>
      </c>
      <c r="F42" s="31"/>
      <c r="G42" s="33"/>
      <c r="H42" s="33"/>
      <c r="I42" s="33">
        <f>'Info Pauvreté'!B23</f>
        <v>0</v>
      </c>
      <c r="J42" s="33"/>
      <c r="K42" s="33"/>
      <c r="L42" s="34" t="e">
        <f>F42/I42</f>
        <v>#DIV/0!</v>
      </c>
      <c r="M42" s="33"/>
      <c r="N42" s="33"/>
    </row>
    <row r="43" spans="1:14" x14ac:dyDescent="0.3">
      <c r="A43" s="261"/>
      <c r="B43" s="7" t="s">
        <v>4</v>
      </c>
      <c r="C43" s="263"/>
      <c r="D43" s="6" t="s">
        <v>136</v>
      </c>
      <c r="E43" s="6" t="s">
        <v>137</v>
      </c>
      <c r="F43" s="31"/>
      <c r="G43" s="33"/>
      <c r="H43" s="33"/>
      <c r="I43" s="33">
        <f>'Info Pauvreté'!B22</f>
        <v>0</v>
      </c>
      <c r="J43" s="33"/>
      <c r="K43" s="33"/>
      <c r="L43" s="34" t="e">
        <f t="shared" ref="L43:L50" si="5">F43/I43</f>
        <v>#DIV/0!</v>
      </c>
      <c r="M43" s="33"/>
      <c r="N43" s="33"/>
    </row>
    <row r="44" spans="1:14" x14ac:dyDescent="0.3">
      <c r="A44" s="261"/>
      <c r="B44" s="7" t="s">
        <v>16</v>
      </c>
      <c r="C44" s="263"/>
      <c r="D44" s="6" t="s">
        <v>138</v>
      </c>
      <c r="E44" s="6" t="s">
        <v>139</v>
      </c>
      <c r="F44" s="31"/>
      <c r="G44" s="33"/>
      <c r="H44" s="33"/>
      <c r="I44" s="33">
        <f>'Info Pauvreté'!B21</f>
        <v>0</v>
      </c>
      <c r="J44" s="33"/>
      <c r="K44" s="33"/>
      <c r="L44" s="34" t="e">
        <f t="shared" si="5"/>
        <v>#DIV/0!</v>
      </c>
      <c r="M44" s="33"/>
      <c r="N44" s="33"/>
    </row>
    <row r="45" spans="1:14" ht="28.8" x14ac:dyDescent="0.3">
      <c r="A45" s="261"/>
      <c r="B45" s="7" t="s">
        <v>140</v>
      </c>
      <c r="C45" s="263"/>
      <c r="D45" s="6" t="s">
        <v>141</v>
      </c>
      <c r="E45" s="6" t="s">
        <v>137</v>
      </c>
      <c r="F45" s="31"/>
      <c r="G45" s="33"/>
      <c r="H45" s="33"/>
      <c r="I45" s="33">
        <f>'Info Pauvreté'!B22</f>
        <v>0</v>
      </c>
      <c r="J45" s="33"/>
      <c r="K45" s="33"/>
      <c r="L45" s="34" t="e">
        <f t="shared" si="5"/>
        <v>#DIV/0!</v>
      </c>
      <c r="M45" s="33"/>
      <c r="N45" s="33"/>
    </row>
    <row r="46" spans="1:14" ht="28.8" x14ac:dyDescent="0.3">
      <c r="A46" s="261"/>
      <c r="B46" s="6" t="s">
        <v>142</v>
      </c>
      <c r="C46" s="263" t="s">
        <v>143</v>
      </c>
      <c r="D46" s="6"/>
      <c r="E46" s="6"/>
      <c r="F46" s="31"/>
      <c r="G46" s="33"/>
      <c r="H46" s="33"/>
      <c r="I46" s="33"/>
      <c r="J46" s="33"/>
      <c r="K46" s="33"/>
      <c r="L46" s="34"/>
      <c r="M46" s="33"/>
      <c r="N46" s="33"/>
    </row>
    <row r="47" spans="1:14" x14ac:dyDescent="0.3">
      <c r="A47" s="261"/>
      <c r="B47" s="7" t="s">
        <v>3</v>
      </c>
      <c r="C47" s="263"/>
      <c r="D47" s="6" t="s">
        <v>134</v>
      </c>
      <c r="E47" s="6" t="s">
        <v>144</v>
      </c>
      <c r="F47" s="31"/>
      <c r="G47" s="33"/>
      <c r="H47" s="33"/>
      <c r="I47" s="33">
        <f>'Info Pauvreté'!B20</f>
        <v>0</v>
      </c>
      <c r="J47" s="33"/>
      <c r="K47" s="33"/>
      <c r="L47" s="34" t="e">
        <f t="shared" si="5"/>
        <v>#DIV/0!</v>
      </c>
      <c r="M47" s="33"/>
      <c r="N47" s="33"/>
    </row>
    <row r="48" spans="1:14" x14ac:dyDescent="0.3">
      <c r="A48" s="261"/>
      <c r="B48" s="7" t="s">
        <v>4</v>
      </c>
      <c r="C48" s="263"/>
      <c r="D48" s="6" t="s">
        <v>136</v>
      </c>
      <c r="E48" s="6" t="s">
        <v>145</v>
      </c>
      <c r="F48" s="31"/>
      <c r="G48" s="33"/>
      <c r="H48" s="33"/>
      <c r="I48" s="33">
        <f>'Info Pauvreté'!B19</f>
        <v>0</v>
      </c>
      <c r="J48" s="33"/>
      <c r="K48" s="33"/>
      <c r="L48" s="34" t="e">
        <f t="shared" si="5"/>
        <v>#DIV/0!</v>
      </c>
      <c r="M48" s="33"/>
      <c r="N48" s="33"/>
    </row>
    <row r="49" spans="1:14" x14ac:dyDescent="0.3">
      <c r="A49" s="261"/>
      <c r="B49" s="7" t="s">
        <v>16</v>
      </c>
      <c r="C49" s="263"/>
      <c r="D49" s="6" t="s">
        <v>138</v>
      </c>
      <c r="E49" s="6" t="s">
        <v>146</v>
      </c>
      <c r="F49" s="31"/>
      <c r="G49" s="33"/>
      <c r="H49" s="33"/>
      <c r="I49" s="33">
        <f>'Info Pauvreté'!B18</f>
        <v>0</v>
      </c>
      <c r="J49" s="33"/>
      <c r="K49" s="33"/>
      <c r="L49" s="34" t="e">
        <f t="shared" si="5"/>
        <v>#DIV/0!</v>
      </c>
      <c r="M49" s="33"/>
      <c r="N49" s="33"/>
    </row>
    <row r="50" spans="1:14" ht="28.8" x14ac:dyDescent="0.3">
      <c r="A50" s="261"/>
      <c r="B50" s="7" t="s">
        <v>140</v>
      </c>
      <c r="C50" s="263"/>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2026-07-03T14:46:47Z</dcterms:modified>
</cp:coreProperties>
</file>