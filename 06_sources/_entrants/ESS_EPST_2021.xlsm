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a72b42ab654a8fcc/Bureau/autres ESS/"/>
    </mc:Choice>
  </mc:AlternateContent>
  <xr:revisionPtr revIDLastSave="0" documentId="8_{FDD241D6-E840-4A55-A85C-45BBE03123AD}" xr6:coauthVersionLast="47" xr6:coauthVersionMax="47" xr10:uidLastSave="{00000000-0000-0000-0000-000000000000}"/>
  <bookViews>
    <workbookView xWindow="28680" yWindow="-7905" windowWidth="29040" windowHeight="15720" activeTab="1" xr2:uid="{00000000-000D-0000-FFFF-FFFF00000000}"/>
  </bookViews>
  <sheets>
    <sheet name="INSTRUCTIONS" sheetId="38" r:id="rId1"/>
    <sheet name="Inventaire des régimes" sheetId="9" r:id="rId2"/>
    <sheet name="Régime 1" sheetId="15" r:id="rId3"/>
    <sheet name="Régime 2" sheetId="272" r:id="rId4"/>
    <sheet name="Régime 3" sheetId="271" r:id="rId5"/>
    <sheet name="Régime 4" sheetId="270" r:id="rId6"/>
    <sheet name="Régime 5" sheetId="269" r:id="rId7"/>
    <sheet name="Régime 6" sheetId="268" r:id="rId8"/>
    <sheet name="Régime 7" sheetId="267" r:id="rId9"/>
    <sheet name="Régime 8" sheetId="266" r:id="rId10"/>
    <sheet name="Régime 9" sheetId="265" r:id="rId11"/>
    <sheet name="Régime 10" sheetId="264"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_xlnm.Print_Area" localSheetId="0">INSTRUCTIONS!$B$1:$C$60</definedName>
    <definedName name="_xlnm.Print_Area" localSheetId="1">'Inventaire des régimes'!$A$1:$AI$25</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s>
  <calcPr calcId="191029"/>
  <customWorkbookViews>
    <customWorkbookView name="Full View" guid="{43331C61-E5DE-4680-8381-52BB1541163B}" maximized="1" xWindow="-1688" yWindow="-8" windowWidth="1696" windowHeight="1066" activeSheetId="9"/>
    <customWorkbookView name="Standard View" guid="{05B837B4-FDDA-47B8-9D6D-B0632FFD6D77}"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 i="272" l="1"/>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D1" i="15" l="1"/>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Z5" authorId="0" shapeId="0" xr:uid="{548D26C0-86B3-43D1-ABD9-7A279BBE2A38}">
      <text>
        <r>
          <rPr>
            <b/>
            <sz val="9"/>
            <color indexed="81"/>
            <rFont val="Tahoma"/>
            <family val="2"/>
          </rPr>
          <t>Hp:</t>
        </r>
        <r>
          <rPr>
            <sz val="9"/>
            <color indexed="81"/>
            <rFont val="Tahoma"/>
            <family val="2"/>
          </rPr>
          <t xml:space="preserve">
Total des dépenses engagées.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<sst xmlns="http://schemas.openxmlformats.org/spreadsheetml/2006/main" count="3090" uniqueCount="529">
  <si>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</si>
  <si>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</si>
  <si>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</si>
  <si>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</si>
  <si>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</si>
  <si>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</si>
  <si>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</si>
  <si>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</si>
  <si>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</si>
  <si>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</si>
  <si>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</si>
  <si>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</si>
  <si>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</si>
  <si>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</si>
  <si>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</si>
  <si>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</si>
  <si>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</si>
  <si>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</si>
  <si>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</si>
  <si>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</si>
  <si>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</si>
  <si>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</si>
  <si>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</si>
  <si>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</si>
  <si>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</si>
  <si>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</si>
  <si>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</si>
  <si>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</si>
  <si>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</si>
  <si>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</si>
  <si>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</si>
  <si>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</si>
  <si>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</si>
  <si>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</si>
  <si>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</si>
  <si>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</si>
  <si>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</si>
  <si>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</si>
  <si>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</si>
  <si>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</si>
  <si>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</si>
  <si>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</si>
  <si>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</si>
  <si>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</si>
  <si>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</si>
  <si>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</si>
  <si>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</si>
  <si>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</si>
  <si>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</si>
  <si>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</si>
  <si>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</si>
  <si>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</si>
  <si>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</si>
  <si>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</si>
  <si>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</si>
  <si>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</si>
  <si>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</si>
  <si>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</si>
  <si>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</si>
  <si>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</si>
  <si>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</si>
  <si>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</si>
  <si>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</si>
  <si>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</si>
  <si>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</si>
  <si>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</si>
  <si>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</si>
  <si>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</si>
  <si>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</si>
  <si>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</si>
  <si>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</si>
  <si>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</si>
  <si>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</si>
  <si>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</si>
  <si>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</si>
  <si>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</si>
  <si>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</si>
  <si>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</si>
  <si>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</si>
  <si>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</si>
  <si>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</si>
  <si>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</si>
  <si>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</si>
  <si>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</si>
  <si>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</si>
  <si>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</si>
  <si>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</si>
  <si>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</si>
  <si>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</si>
  <si>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</si>
  <si>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</si>
  <si>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</si>
  <si>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</si>
  <si>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</si>
  <si>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</si>
  <si>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</si>
  <si>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</si>
  <si>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</si>
  <si>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</si>
  <si>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</si>
  <si>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</si>
  <si>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</si>
  <si>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</si>
  <si>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</si>
  <si>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</si>
  <si>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</si>
  <si>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</si>
  <si>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</si>
  <si>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</si>
  <si>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</si>
  <si>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</si>
  <si>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</si>
  <si>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</si>
  <si>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</si>
  <si>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</si>
  <si>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</si>
  <si>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</si>
  <si>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</si>
  <si>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</si>
  <si>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</si>
  <si>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</si>
  <si>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</si>
  <si>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</si>
  <si>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</si>
  <si>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</si>
  <si>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</si>
  <si>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</si>
  <si>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</si>
  <si>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</si>
  <si>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</si>
  <si>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</si>
  <si>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</si>
  <si>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</si>
  <si>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</si>
  <si>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</si>
  <si>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</si>
  <si>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</si>
  <si>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</si>
  <si>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</si>
  <si>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</si>
  <si>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</si>
  <si>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</si>
  <si>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</si>
  <si>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</si>
  <si>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</si>
  <si>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</si>
  <si>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</si>
  <si>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</si>
  <si>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</si>
  <si>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</si>
  <si>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</si>
  <si>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</si>
  <si>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</si>
  <si>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</si>
  <si>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</si>
  <si>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</si>
  <si>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</si>
  <si>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</si>
  <si>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</si>
  <si>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</si>
  <si>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</si>
  <si>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</si>
  <si>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</si>
  <si>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</si>
  <si>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</si>
  <si>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</si>
  <si>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</si>
  <si>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</si>
  <si>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</si>
  <si>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</si>
  <si>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</si>
  <si>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</si>
  <si>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</si>
  <si>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</si>
  <si>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</si>
  <si>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</si>
  <si>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</si>
  <si>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</si>
  <si>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</si>
  <si>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</si>
  <si>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</si>
  <si>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</si>
  <si>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</si>
  <si>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</si>
  <si>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</si>
  <si>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</si>
  <si>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</si>
  <si>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</si>
  <si>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</si>
  <si>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</si>
  <si>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</si>
  <si>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</si>
  <si>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</si>
  <si>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</si>
  <si>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</si>
  <si>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</si>
  <si>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</si>
  <si>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</si>
  <si>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</si>
  <si>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</si>
  <si>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</si>
  <si>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</si>
  <si>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</si>
  <si>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</si>
  <si>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</si>
  <si>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</si>
  <si>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</si>
  <si>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</si>
  <si>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</si>
  <si>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</si>
  <si>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</si>
  <si>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</si>
  <si>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</si>
  <si>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</si>
  <si>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</si>
  <si>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</si>
  <si>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</si>
  <si>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</si>
  <si>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</si>
  <si>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</si>
  <si>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</si>
  <si>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</si>
  <si>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</si>
  <si>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</si>
  <si>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</si>
  <si>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</si>
  <si>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</si>
  <si>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</si>
  <si>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</si>
  <si>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</si>
  <si>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</si>
  <si>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</si>
  <si>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</si>
  <si>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</si>
  <si>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</si>
  <si>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</si>
  <si>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</si>
  <si>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</si>
  <si>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</si>
  <si>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</si>
  <si>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</si>
  <si>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</si>
  <si>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</si>
  <si>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</si>
  <si>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</si>
  <si>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</si>
  <si>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</si>
  <si>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</si>
  <si>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</si>
  <si>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</si>
  <si>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</si>
  <si>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</si>
  <si>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</si>
  <si>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</si>
  <si>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</si>
  <si>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</si>
  <si>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</si>
  <si>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</si>
  <si>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</si>
  <si>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</si>
  <si>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</si>
  <si>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</si>
  <si>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</si>
  <si>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</si>
  <si>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</si>
  <si>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</si>
  <si>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</si>
  <si>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</si>
  <si>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</si>
  <si>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</si>
  <si>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</si>
  <si>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</si>
  <si>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</si>
  <si>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</si>
  <si>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</si>
  <si>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</si>
  <si>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</si>
  <si>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</si>
  <si>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</si>
  <si>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</si>
  <si>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</si>
  <si>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</si>
  <si>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</si>
  <si>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</si>
  <si>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</si>
  <si>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</si>
  <si>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</si>
  <si>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5</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</si>
  <si>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</si>
  <si>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</si>
  <si>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</si>
  <si>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</si>
  <si>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</si>
  <si>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</si>
  <si>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</si>
  <si>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</si>
  <si>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</si>
  <si>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</si>
  <si>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</si>
  <si>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</si>
  <si>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</si>
  <si>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</si>
  <si>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</si>
  <si>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</si>
  <si>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</si>
  <si>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</si>
  <si>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</si>
  <si>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</si>
  <si>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</si>
  <si>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</si>
  <si>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</si>
  <si>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</si>
  <si>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</si>
  <si>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</si>
  <si>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</si>
  <si>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</si>
  <si>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</si>
  <si>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</si>
  <si>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</si>
  <si>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</si>
  <si>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</si>
  <si>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</si>
  <si>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</si>
  <si>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</si>
  <si>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</si>
  <si>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</si>
  <si>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</si>
  <si>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</si>
  <si>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</si>
  <si>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</si>
  <si>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</si>
  <si>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</si>
  <si>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</si>
  <si>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</si>
  <si>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</si>
  <si>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</si>
  <si>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</si>
  <si>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</si>
  <si>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</si>
  <si>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</si>
  <si>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</si>
  <si>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</si>
  <si>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</si>
  <si>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</si>
  <si>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</si>
  <si>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</si>
  <si>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</si>
  <si>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</si>
  <si>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</si>
  <si>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</si>
  <si>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</si>
  <si>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</si>
  <si>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</si>
  <si>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</si>
  <si>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</si>
  <si>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</si>
  <si>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</si>
  <si>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</si>
  <si>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</si>
  <si>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</si>
  <si>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</si>
  <si>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</si>
  <si>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</si>
  <si>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</si>
  <si>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</si>
  <si>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</si>
  <si>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</si>
  <si>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</si>
  <si>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</si>
  <si>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</si>
  <si>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</si>
  <si>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</si>
  <si>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</si>
  <si>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</si>
  <si>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</si>
  <si>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</si>
  <si>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</si>
  <si>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</si>
  <si>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</si>
  <si>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</si>
  <si>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</si>
  <si>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</si>
  <si>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</si>
  <si>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</si>
  <si>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</si>
  <si>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</si>
  <si>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</si>
  <si>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</si>
  <si>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</si>
  <si>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</si>
  <si>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</si>
  <si>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</si>
  <si>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</si>
  <si>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</si>
  <si>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</si>
  <si>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</si>
  <si>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</si>
  <si>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</si>
  <si>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</si>
  <si>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</si>
  <si>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</si>
  <si>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</si>
  <si>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</si>
  <si>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</si>
  <si>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</si>
  <si>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</si>
  <si>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</si>
  <si>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</si>
  <si>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</si>
  <si>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</si>
  <si>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</si>
  <si>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</si>
  <si>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</si>
  <si>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</si>
  <si>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</si>
  <si>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</si>
  <si>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</si>
  <si>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</si>
  <si>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</si>
  <si>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</si>
  <si>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</si>
  <si>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</si>
  <si>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</si>
  <si>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</si>
  <si>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</si>
  <si>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</si>
  <si>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</si>
  <si>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</si>
  <si>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</si>
  <si>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</si>
  <si>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</si>
  <si>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</si>
  <si>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</si>
  <si>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</si>
  <si>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</si>
  <si>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</si>
  <si>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</si>
  <si>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</si>
  <si>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</si>
  <si>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</si>
  <si>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</si>
  <si>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</si>
  <si>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</si>
  <si>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</si>
  <si>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</si>
  <si>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</si>
  <si>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</si>
  <si>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</si>
  <si>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</si>
  <si>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</si>
  <si>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</si>
  <si>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</si>
  <si>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</si>
  <si>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</si>
  <si>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</si>
  <si>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</si>
  <si>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</si>
  <si>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</si>
  <si>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</si>
  <si>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</si>
  <si>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</si>
  <si>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</si>
  <si>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</si>
  <si>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</si>
  <si>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</si>
  <si>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</si>
  <si>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</si>
  <si>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</si>
  <si>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</si>
  <si>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</si>
  <si>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</si>
  <si>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</si>
  <si>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</si>
  <si>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</si>
  <si>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</si>
  <si>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</si>
  <si>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</si>
  <si>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</si>
  <si>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</si>
  <si>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</si>
  <si>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</si>
  <si>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</si>
  <si>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</si>
  <si>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</si>
  <si>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</si>
  <si>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</si>
  <si>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</si>
  <si>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</si>
  <si>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</si>
  <si>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</si>
  <si>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</si>
  <si>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</si>
  <si>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</si>
  <si>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</si>
  <si>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</si>
  <si>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</si>
  <si>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</si>
  <si>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</si>
  <si>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</si>
  <si>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</si>
  <si>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</si>
  <si>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</si>
  <si>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</si>
  <si>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</si>
  <si>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</si>
  <si>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</si>
  <si>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</si>
  <si>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</si>
  <si>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</si>
  <si>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</si>
  <si>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</si>
  <si>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</si>
  <si>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</si>
  <si>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</si>
  <si>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</si>
  <si>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</si>
  <si>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</si>
  <si>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</si>
  <si>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</si>
  <si>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</si>
  <si>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Direction des Etudes et Organisation</t>
  </si>
  <si>
    <r>
      <rPr>
        <b/>
        <sz val="10"/>
        <rFont val="Arial Narrow"/>
        <family val="2"/>
      </rPr>
      <t xml:space="preserve">Nombre de personnes ayant contribué </t>
    </r>
    <r>
      <rPr>
        <sz val="10"/>
        <rFont val="Arial Narrow"/>
        <family val="2"/>
      </rPr>
      <t>au régime durant de la période de référence (le cas échéant)</t>
    </r>
  </si>
  <si>
    <t>CDF</t>
  </si>
  <si>
    <t>Nom du régime 2</t>
  </si>
  <si>
    <t>Nom du régime 3</t>
  </si>
  <si>
    <t>Nom du régime 4</t>
  </si>
  <si>
    <t>Ministère de l’enseignement primaire, secondaire et technique (MEPST)</t>
  </si>
  <si>
    <t>Gratuité de l'EPST</t>
  </si>
  <si>
    <t>RDC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</si>
</sst>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 #,##0.00_-;_-* &quot;-&quot;??_-;_-@_-"/>
    <numFmt numFmtId="165" formatCode="_-* #,##0_-;\-* #,##0_-;_-* &quot;-&quot;??_-;_-@_-"/>
    <numFmt numFmtId="166" formatCode="0.0"/>
  </numFmts>
  <fonts count="59"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sz val="8"/>
      <name val="Calibri"/>
      <family val="2"/>
      <scheme val="minor"/>
    </font>
  </fonts>
  <fills count="20">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
      <patternFill patternType="solid">
        <fgColor theme="0" tint="-0.14999847407452621"/>
        <bgColor theme="0" tint="-0.14999847407452621"/>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62">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3" fillId="2" borderId="5" xfId="0" applyFont="1" applyFill="1" applyBorder="1" applyAlignment="1">
      <alignment vertical="center" wrapText="1"/>
    </xf>
    <xf numFmtId="0" fontId="33" fillId="2" borderId="5" xfId="0" applyFont="1" applyFill="1" applyBorder="1" applyAlignment="1">
      <alignment vertical="center"/>
    </xf>
    <xf numFmtId="0" fontId="33" fillId="2" borderId="2" xfId="0" applyFont="1" applyFill="1" applyBorder="1" applyAlignment="1">
      <alignment vertical="center"/>
    </xf>
    <xf numFmtId="0" fontId="33"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1" fillId="2" borderId="1" xfId="0" applyFont="1" applyFill="1" applyBorder="1" applyAlignment="1">
      <alignment vertical="center"/>
    </xf>
    <xf numFmtId="0" fontId="40" fillId="0" borderId="0" xfId="0" applyFont="1" applyAlignment="1">
      <alignment horizontal="left" vertical="top" wrapText="1"/>
    </xf>
    <xf numFmtId="0" fontId="36" fillId="0" borderId="0" xfId="0" applyFont="1" applyAlignment="1">
      <alignment horizontal="left" vertical="top" wrapText="1"/>
    </xf>
    <xf numFmtId="0" fontId="37"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5"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43" fillId="3" borderId="0" xfId="2" applyFont="1" applyFill="1" applyBorder="1" applyAlignment="1" applyProtection="1">
      <alignment horizontal="left" vertical="top" wrapText="1"/>
      <protection locked="0"/>
    </xf>
    <xf numFmtId="0" fontId="44"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6" fillId="15" borderId="0" xfId="0" applyFont="1" applyFill="1" applyAlignment="1">
      <alignment horizontal="left" vertical="top" wrapText="1"/>
    </xf>
    <xf numFmtId="0" fontId="36" fillId="18" borderId="0" xfId="0" applyFont="1" applyFill="1" applyAlignment="1">
      <alignment horizontal="left" vertical="top" wrapText="1"/>
    </xf>
    <xf numFmtId="0" fontId="39" fillId="15" borderId="11" xfId="0" applyFont="1" applyFill="1" applyBorder="1" applyAlignment="1">
      <alignment horizontal="left" vertical="top" wrapText="1"/>
    </xf>
    <xf numFmtId="0" fontId="39"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0" fillId="0" borderId="0" xfId="0" applyFont="1"/>
    <xf numFmtId="0" fontId="26" fillId="0" borderId="0" xfId="0" applyFont="1"/>
    <xf numFmtId="0" fontId="21" fillId="0" borderId="0" xfId="0" applyFont="1" applyAlignment="1">
      <alignment horizontal="right" vertical="top"/>
    </xf>
    <xf numFmtId="0" fontId="49" fillId="3" borderId="0" xfId="0" applyFont="1" applyFill="1" applyAlignment="1">
      <alignment vertical="top"/>
    </xf>
    <xf numFmtId="0" fontId="41" fillId="0" borderId="0" xfId="0" applyFont="1" applyAlignment="1">
      <alignment vertical="top"/>
    </xf>
    <xf numFmtId="0" fontId="41" fillId="2" borderId="6" xfId="0" applyFont="1" applyFill="1" applyBorder="1" applyAlignment="1">
      <alignment vertical="top"/>
    </xf>
    <xf numFmtId="0" fontId="52" fillId="3" borderId="0" xfId="0" applyFont="1" applyFill="1" applyAlignment="1">
      <alignment vertical="top"/>
    </xf>
    <xf numFmtId="0" fontId="49" fillId="6" borderId="1" xfId="0" applyFont="1" applyFill="1" applyBorder="1" applyAlignment="1">
      <alignment vertical="top"/>
    </xf>
    <xf numFmtId="0" fontId="52" fillId="3" borderId="0" xfId="0" applyFont="1" applyFill="1" applyAlignment="1">
      <alignment horizontal="right" vertical="top"/>
    </xf>
    <xf numFmtId="0" fontId="49" fillId="0" borderId="0" xfId="0" applyFont="1" applyAlignment="1">
      <alignment vertical="top"/>
    </xf>
    <xf numFmtId="0" fontId="53" fillId="0" borderId="0" xfId="0" applyFont="1" applyAlignment="1">
      <alignment horizontal="right" vertical="top"/>
    </xf>
    <xf numFmtId="0" fontId="54" fillId="0" borderId="0" xfId="0" applyFont="1" applyAlignment="1">
      <alignment horizontal="left" vertical="top"/>
    </xf>
    <xf numFmtId="0" fontId="53" fillId="0" borderId="0" xfId="0" applyFont="1" applyAlignment="1">
      <alignment horizontal="left" vertical="top"/>
    </xf>
    <xf numFmtId="0" fontId="55" fillId="0" borderId="0" xfId="0" applyFont="1" applyAlignment="1">
      <alignment horizontal="left" vertical="top" wrapText="1"/>
    </xf>
    <xf numFmtId="0" fontId="55" fillId="0" borderId="0" xfId="0" applyFont="1" applyAlignment="1">
      <alignment horizontal="left" vertical="top"/>
    </xf>
    <xf numFmtId="0" fontId="47" fillId="2" borderId="16" xfId="2" applyFont="1" applyFill="1" applyBorder="1" applyAlignment="1" applyProtection="1">
      <alignment horizontal="left" vertical="center" wrapText="1"/>
      <protection locked="0"/>
    </xf>
    <xf numFmtId="0" fontId="55" fillId="0" borderId="0" xfId="0" applyFont="1" applyAlignment="1">
      <alignment horizontal="right" vertical="top" wrapText="1"/>
    </xf>
    <xf numFmtId="0" fontId="47"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4"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2"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5"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4"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8"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7"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6" fillId="0" borderId="6" xfId="0" applyFont="1" applyBorder="1" applyAlignment="1" applyProtection="1">
      <alignment horizontal="left" vertical="top"/>
      <protection locked="0"/>
    </xf>
    <xf numFmtId="0" fontId="46"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4" fillId="6" borderId="6" xfId="2" applyFill="1" applyBorder="1" applyAlignment="1" applyProtection="1">
      <alignment vertical="top"/>
      <protection locked="0"/>
    </xf>
    <xf numFmtId="3" fontId="30" fillId="17" borderId="4" xfId="1"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horizontal="right" vertical="top" wrapText="1"/>
      <protection locked="0"/>
    </xf>
    <xf numFmtId="0" fontId="29" fillId="6" borderId="6" xfId="0" applyFont="1" applyFill="1" applyBorder="1" applyAlignment="1" applyProtection="1">
      <alignment horizontal="left" vertical="top"/>
      <protection locked="0"/>
    </xf>
    <xf numFmtId="164" fontId="21" fillId="17" borderId="4" xfId="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right" vertical="top" wrapText="1"/>
      <protection locked="0"/>
    </xf>
    <xf numFmtId="164" fontId="21" fillId="2" borderId="4" xfId="1" applyFont="1" applyFill="1" applyBorder="1" applyAlignment="1" applyProtection="1">
      <alignment horizontal="right" vertical="top" wrapText="1"/>
      <protection locked="0"/>
    </xf>
    <xf numFmtId="3" fontId="21" fillId="5" borderId="12" xfId="1" applyNumberFormat="1" applyFont="1" applyFill="1" applyBorder="1" applyAlignment="1" applyProtection="1">
      <alignment horizontal="right" vertical="top" wrapText="1"/>
      <protection locked="0"/>
    </xf>
    <xf numFmtId="3" fontId="21" fillId="5" borderId="13" xfId="0" applyNumberFormat="1" applyFont="1" applyFill="1" applyBorder="1" applyAlignment="1" applyProtection="1">
      <alignment horizontal="right" vertical="top" wrapText="1"/>
      <protection locked="0"/>
    </xf>
    <xf numFmtId="3" fontId="21" fillId="5" borderId="3" xfId="0" applyNumberFormat="1" applyFont="1" applyFill="1" applyBorder="1" applyAlignment="1" applyProtection="1">
      <alignment horizontal="right" vertical="top" wrapText="1"/>
      <protection locked="0"/>
    </xf>
    <xf numFmtId="3" fontId="21" fillId="5" borderId="6" xfId="0" applyNumberFormat="1" applyFont="1" applyFill="1" applyBorder="1" applyAlignment="1" applyProtection="1">
      <alignment horizontal="right" vertical="top" wrapText="1"/>
      <protection locked="0"/>
    </xf>
    <xf numFmtId="164" fontId="21" fillId="7" borderId="12" xfId="1" applyFont="1" applyFill="1" applyBorder="1" applyAlignment="1" applyProtection="1">
      <alignment horizontal="left" vertical="top" wrapText="1"/>
      <protection locked="0"/>
    </xf>
    <xf numFmtId="164" fontId="21" fillId="7" borderId="3" xfId="1" applyFont="1" applyFill="1" applyBorder="1" applyAlignment="1" applyProtection="1">
      <alignment horizontal="left" vertical="top" wrapText="1"/>
      <protection locked="0"/>
    </xf>
    <xf numFmtId="49" fontId="21" fillId="3" borderId="12" xfId="0" applyNumberFormat="1" applyFont="1" applyFill="1" applyBorder="1" applyAlignment="1" applyProtection="1">
      <alignment horizontal="left" vertical="top" wrapText="1"/>
      <protection locked="0"/>
    </xf>
    <xf numFmtId="49" fontId="21" fillId="0" borderId="6" xfId="0" applyNumberFormat="1" applyFont="1" applyBorder="1" applyAlignment="1">
      <alignment horizontal="left" vertical="top"/>
    </xf>
    <xf numFmtId="49" fontId="21" fillId="19" borderId="6" xfId="0" applyNumberFormat="1" applyFont="1" applyFill="1" applyBorder="1" applyAlignment="1">
      <alignment horizontal="left" vertical="top"/>
    </xf>
    <xf numFmtId="49" fontId="21" fillId="0" borderId="6" xfId="1" applyNumberFormat="1" applyFont="1" applyBorder="1" applyAlignment="1">
      <alignment horizontal="left" vertical="top"/>
    </xf>
    <xf numFmtId="49" fontId="21" fillId="0" borderId="6" xfId="0" applyNumberFormat="1" applyFont="1" applyBorder="1" applyAlignment="1" applyProtection="1">
      <alignment horizontal="left" vertical="top" wrapText="1"/>
      <protection locked="0"/>
    </xf>
    <xf numFmtId="0" fontId="51" fillId="3" borderId="0" xfId="2" applyFont="1" applyFill="1" applyBorder="1" applyAlignment="1" applyProtection="1">
      <alignment horizontal="left" vertical="top"/>
      <protection locked="0"/>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xfId="1" builtinId="3"/>
    <cellStyle name="Comma 2" xfId="3" xr:uid="{00000000-0005-0000-0000-000002000000}"/>
    <cellStyle name="Good" xfId="5" builtinId="26"/>
    <cellStyle name="Hyperlink" xfId="2" builtinId="8"/>
    <cellStyle name="Normal" xfId="0" builtinId="0"/>
    <cellStyle name="Percent" xfId="4" builtinId="5"/>
  </cellStyles>
  <dxfs count="215">
    <dxf>
      <fill>
        <patternFill>
          <bgColor theme="6" tint="0.79998168889431442"/>
        </patternFill>
      </fill>
    </dxf>
    <dxf>
      <fill>
        <patternFill>
          <bgColor theme="0"/>
        </patternFill>
      </fill>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1"/>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microsoft.com/office/2017/10/relationships/person" Target="persons/pers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001125"/>
          <a:ext cx="10772775" cy="687705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93889</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7" dataDxfId="46" tableBorderDxfId="45">
  <autoFilter ref="A1:A4" xr:uid="{00000000-0009-0000-0100-000001000000}"/>
  <tableColumns count="1">
    <tableColumn id="1" xr3:uid="{00000000-0010-0000-0000-000001000000}" name="LIST_CNon" dataDxfId="44"/>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3" dataDxfId="42">
  <autoFilter ref="B1:B13" xr:uid="{00000000-0009-0000-0100-000002000000}"/>
  <tableColumns count="1">
    <tableColumn id="1" xr3:uid="{00000000-0010-0000-0100-000001000000}" name="LIST_Func" dataDxfId="41"/>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40" dataDxfId="39">
  <autoFilter ref="C1:C13" xr:uid="{00000000-0009-0000-0100-000003000000}"/>
  <tableColumns count="1">
    <tableColumn id="1" xr3:uid="{00000000-0010-0000-0200-000001000000}" name="LIST_PopGrp" dataDxfId="3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7" dataDxfId="36">
  <autoFilter ref="D1:D5" xr:uid="{00000000-0009-0000-0100-000004000000}"/>
  <tableColumns count="1">
    <tableColumn id="1" xr3:uid="{00000000-0010-0000-0300-000001000000}" name="LIST_AgrGrp" dataDxfId="35"/>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4" dataDxfId="33">
  <autoFilter ref="E1:E4" xr:uid="{00000000-0009-0000-0100-000005000000}"/>
  <tableColumns count="1">
    <tableColumn id="1" xr3:uid="{00000000-0010-0000-0400-000001000000}" name="LIST_Area" dataDxfId="32"/>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31" dataDxfId="30">
  <autoFilter ref="F1:F4" xr:uid="{00000000-0009-0000-0100-000006000000}"/>
  <tableColumns count="1">
    <tableColumn id="1" xr3:uid="{00000000-0010-0000-0500-000001000000}" name="List_MVol" dataDxfId="29"/>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28" dataDxfId="27">
  <autoFilter ref="G1:G3" xr:uid="{00000000-0009-0000-0100-000007000000}"/>
  <tableColumns count="1">
    <tableColumn id="1" xr3:uid="{00000000-0010-0000-0600-000001000000}" name="LIST_CKnd" dataDxfId="26"/>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5" dataDxfId="24">
  <autoFilter ref="H1:H4" xr:uid="{00000000-0009-0000-0100-000008000000}"/>
  <tableColumns count="1">
    <tableColumn id="1" xr3:uid="{00000000-0010-0000-0700-000001000000}" name="LIST_Test" dataDxfId="23"/>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2" dataDxfId="21">
  <autoFilter ref="I1:I3" xr:uid="{00000000-0009-0000-0100-000009000000}"/>
  <tableColumns count="1">
    <tableColumn id="1" xr3:uid="{00000000-0010-0000-0800-000001000000}" name="LIST_Per" dataDxfId="20"/>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19" dataDxfId="18">
  <autoFilter ref="J1:J3" xr:uid="{00000000-0009-0000-0100-00000A000000}"/>
  <tableColumns count="1">
    <tableColumn id="1" xr3:uid="{00000000-0010-0000-0900-000001000000}" name="LIST_Con" dataDxfId="17"/>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6" dataDxfId="15">
  <autoFilter ref="K1:K3" xr:uid="{00000000-0009-0000-0100-00000B000000}"/>
  <tableColumns count="1">
    <tableColumn id="1" xr3:uid="{00000000-0010-0000-0A00-000001000000}" name="LIST_PPrv" dataDxfId="14"/>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3" dataDxfId="12">
  <autoFilter ref="L1:L4" xr:uid="{00000000-0009-0000-0100-00000C000000}"/>
  <tableColumns count="1">
    <tableColumn id="1" xr3:uid="{00000000-0010-0000-0B00-000001000000}" name="LIST_LSta" dataDxfId="11"/>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10" dataDxfId="9">
  <autoFilter ref="M1:M5" xr:uid="{00000000-0009-0000-0100-00000D000000}"/>
  <tableColumns count="1">
    <tableColumn id="1" xr3:uid="{00000000-0010-0000-0C00-000001000000}" name="LIST_Cuni" dataDxfId="8"/>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7" dataDxfId="6">
  <autoFilter ref="N1:N3" xr:uid="{00000000-0009-0000-0100-00000E000000}"/>
  <tableColumns count="1">
    <tableColumn id="1" xr3:uid="{00000000-0010-0000-0D00-000001000000}" name="LIST_X" dataDxfId="5"/>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4" dataDxfId="3">
  <autoFilter ref="O1:O12" xr:uid="{00000000-0009-0000-0100-00000F000000}"/>
  <tableColumns count="1">
    <tableColumn id="1" xr3:uid="{00000000-0010-0000-0E00-000001000000}" name="LIST_TPro" dataDxfId="2"/>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5" Type="http://schemas.openxmlformats.org/officeDocument/2006/relationships/drawing" Target="../drawings/drawing2.xml"/><Relationship Id="rId4"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zoomScaleNormal="100" workbookViewId="0">
      <selection activeCell="B20" sqref="B20"/>
    </sheetView>
  </sheetViews>
  <sheetFormatPr defaultColWidth="0" defaultRowHeight="15" customHeight="1" zeroHeight="1" x14ac:dyDescent="0.3"/>
  <cols>
    <col min="1" max="1" width="2.554687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198</v>
      </c>
      <c r="C10" s="52"/>
    </row>
    <row r="11" spans="1:3" s="53" customFormat="1" ht="14.4" x14ac:dyDescent="0.3">
      <c r="A11" s="52"/>
      <c r="B11" s="116"/>
      <c r="C11" s="52"/>
    </row>
    <row r="12" spans="1:3" s="53" customFormat="1" ht="34.200000000000003" x14ac:dyDescent="0.3">
      <c r="A12" s="52"/>
      <c r="B12" s="116" t="s">
        <v>199</v>
      </c>
      <c r="C12" s="52"/>
    </row>
    <row r="13" spans="1:3" s="53" customFormat="1" ht="14.4" x14ac:dyDescent="0.3">
      <c r="A13" s="52"/>
      <c r="B13" s="116"/>
      <c r="C13" s="52"/>
    </row>
    <row r="14" spans="1:3" s="53" customFormat="1" ht="45.6" x14ac:dyDescent="0.3">
      <c r="A14" s="52"/>
      <c r="B14" s="116" t="s">
        <v>200</v>
      </c>
      <c r="C14" s="52"/>
    </row>
    <row r="15" spans="1:3" s="53" customFormat="1" ht="14.4" x14ac:dyDescent="0.3">
      <c r="A15" s="52"/>
      <c r="B15" s="116"/>
      <c r="C15" s="52"/>
    </row>
    <row r="16" spans="1:3" s="53" customFormat="1" ht="14.4" x14ac:dyDescent="0.3">
      <c r="A16" s="52"/>
      <c r="B16" s="116" t="s">
        <v>210</v>
      </c>
      <c r="C16" s="52"/>
    </row>
    <row r="17" spans="1:3" s="53" customFormat="1" ht="14.4" x14ac:dyDescent="0.3">
      <c r="A17" s="52"/>
      <c r="B17" s="52"/>
      <c r="C17" s="52"/>
    </row>
    <row r="18" spans="1:3" s="53" customFormat="1" ht="19.8" x14ac:dyDescent="0.3">
      <c r="A18" s="52"/>
      <c r="B18" s="117" t="s">
        <v>201</v>
      </c>
      <c r="C18" s="52"/>
    </row>
    <row r="19" spans="1:3" s="53" customFormat="1" ht="14.4" x14ac:dyDescent="0.3">
      <c r="A19" s="52"/>
      <c r="B19" s="52"/>
      <c r="C19" s="52"/>
    </row>
    <row r="20" spans="1:3" s="53" customFormat="1" ht="98.25" customHeight="1" x14ac:dyDescent="0.3">
      <c r="A20" s="52"/>
      <c r="B20" s="118" t="s">
        <v>202</v>
      </c>
      <c r="C20" s="52"/>
    </row>
    <row r="21" spans="1:3" s="53" customFormat="1" ht="25.2" x14ac:dyDescent="0.3">
      <c r="A21" s="52"/>
      <c r="B21" s="119" t="s">
        <v>203</v>
      </c>
      <c r="C21" s="52"/>
    </row>
    <row r="22" spans="1:3" s="53" customFormat="1" ht="47.25" customHeight="1" x14ac:dyDescent="0.3">
      <c r="A22" s="52"/>
      <c r="B22" s="118" t="s">
        <v>204</v>
      </c>
      <c r="C22" s="52"/>
    </row>
    <row r="23" spans="1:3" s="53" customFormat="1" ht="63" x14ac:dyDescent="0.3">
      <c r="A23" s="52"/>
      <c r="B23" s="119" t="s">
        <v>205</v>
      </c>
      <c r="C23" s="52"/>
    </row>
    <row r="24" spans="1:3" s="53" customFormat="1" ht="63" customHeight="1" x14ac:dyDescent="0.3">
      <c r="A24" s="52"/>
      <c r="B24" s="118" t="s">
        <v>206</v>
      </c>
      <c r="C24" s="52"/>
    </row>
    <row r="25" spans="1:3" s="53" customFormat="1" ht="37.799999999999997" x14ac:dyDescent="0.3">
      <c r="A25" s="52"/>
      <c r="B25" s="119" t="s">
        <v>207</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208</v>
      </c>
    </row>
    <row r="63" spans="1:3" ht="14.4" hidden="1" x14ac:dyDescent="0.3">
      <c r="B63" s="51" t="s">
        <v>209</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tabSelected="1" zoomScale="140" zoomScaleNormal="140" workbookViewId="0">
      <pane xSplit="2" ySplit="5" topLeftCell="F6" activePane="bottomRight" state="frozen"/>
      <selection pane="topRight" activeCell="C1" sqref="C1"/>
      <selection pane="bottomLeft" activeCell="A6" sqref="A6"/>
      <selection pane="bottomRight" activeCell="H8" sqref="H8"/>
    </sheetView>
  </sheetViews>
  <sheetFormatPr defaultColWidth="0" defaultRowHeight="13.8" zeroHeight="1" x14ac:dyDescent="0.3"/>
  <cols>
    <col min="1" max="1" width="9.33203125" style="58" customWidth="1"/>
    <col min="2" max="2" width="30" style="56" customWidth="1"/>
    <col min="3" max="3" width="29.6640625" style="56" customWidth="1"/>
    <col min="4" max="4" width="25.6640625" style="56" customWidth="1"/>
    <col min="5" max="19" width="3" style="57" customWidth="1"/>
    <col min="20" max="20" width="4.554687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3" customWidth="1"/>
    <col min="33" max="35" width="21.6640625" style="56" customWidth="1"/>
    <col min="36" max="36" width="12.33203125" style="56" customWidth="1"/>
    <col min="37" max="37" width="3.5546875" style="59" customWidth="1"/>
    <col min="38" max="39" width="11.44140625" style="56" hidden="1"/>
    <col min="40" max="40" width="30.6640625" style="56" hidden="1"/>
    <col min="41" max="41" width="5.88671875" style="56" hidden="1"/>
    <col min="42" max="248" width="11.44140625" style="56" hidden="1"/>
    <col min="249" max="249" width="12.5546875" style="56" hidden="1"/>
    <col min="250" max="257" width="5.33203125" style="56" hidden="1"/>
    <col min="258" max="258" width="8" style="56" hidden="1"/>
    <col min="259" max="259" width="4" style="56" hidden="1"/>
    <col min="260" max="260" width="39.44140625" style="56" hidden="1"/>
    <col min="261" max="274" width="5.33203125" style="56" hidden="1"/>
    <col min="275" max="275" width="10.88671875" style="56" hidden="1"/>
    <col min="276" max="276" width="10.109375" style="56" hidden="1"/>
    <col min="277" max="277" width="10.5546875" style="56" hidden="1"/>
    <col min="278" max="278" width="9.554687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88671875" style="56" hidden="1"/>
    <col min="293" max="295" width="11.44140625" style="56" hidden="1"/>
    <col min="296" max="296" width="30.6640625" style="56" hidden="1"/>
    <col min="297" max="504" width="11.44140625" style="56" hidden="1"/>
    <col min="505" max="505" width="12.5546875" style="56" hidden="1"/>
    <col min="506" max="513" width="5.33203125" style="56" hidden="1"/>
    <col min="514" max="514" width="8" style="56" hidden="1"/>
    <col min="515" max="515" width="4" style="56" hidden="1"/>
    <col min="516" max="516" width="39.44140625" style="56" hidden="1"/>
    <col min="517" max="530" width="5.33203125" style="56" hidden="1"/>
    <col min="531" max="531" width="10.88671875" style="56" hidden="1"/>
    <col min="532" max="532" width="10.109375" style="56" hidden="1"/>
    <col min="533" max="533" width="10.5546875" style="56" hidden="1"/>
    <col min="534" max="534" width="9.554687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88671875" style="56" hidden="1"/>
    <col min="549" max="551" width="11.44140625" style="56" hidden="1"/>
    <col min="552" max="552" width="30.6640625" style="56" hidden="1"/>
    <col min="553" max="760" width="11.44140625" style="56" hidden="1"/>
    <col min="761" max="761" width="12.5546875" style="56" hidden="1"/>
    <col min="762" max="769" width="5.33203125" style="56" hidden="1"/>
    <col min="770" max="770" width="8" style="56" hidden="1"/>
    <col min="771" max="771" width="4" style="56" hidden="1"/>
    <col min="772" max="772" width="39.44140625" style="56" hidden="1"/>
    <col min="773" max="786" width="5.33203125" style="56" hidden="1"/>
    <col min="787" max="787" width="10.88671875" style="56" hidden="1"/>
    <col min="788" max="788" width="10.109375" style="56" hidden="1"/>
    <col min="789" max="789" width="10.5546875" style="56" hidden="1"/>
    <col min="790" max="790" width="9.554687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88671875" style="56" hidden="1"/>
    <col min="805" max="807" width="11.44140625" style="56" hidden="1"/>
    <col min="808" max="808" width="30.6640625" style="56" hidden="1"/>
    <col min="809" max="1016" width="11.44140625" style="56" hidden="1"/>
    <col min="1017" max="1017" width="12.554687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88671875" style="56" hidden="1"/>
    <col min="1044" max="1044" width="10.109375" style="56" hidden="1"/>
    <col min="1045" max="1045" width="10.5546875" style="56" hidden="1"/>
    <col min="1046" max="1046" width="9.554687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88671875" style="56" hidden="1"/>
    <col min="1061" max="1063" width="11.44140625" style="56" hidden="1"/>
    <col min="1064" max="1064" width="30.6640625" style="56" hidden="1"/>
    <col min="1065" max="1272" width="11.44140625" style="56" hidden="1"/>
    <col min="1273" max="1273" width="12.554687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88671875" style="56" hidden="1"/>
    <col min="1300" max="1300" width="10.109375" style="56" hidden="1"/>
    <col min="1301" max="1301" width="10.5546875" style="56" hidden="1"/>
    <col min="1302" max="1302" width="9.554687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88671875" style="56" hidden="1"/>
    <col min="1317" max="1319" width="11.44140625" style="56" hidden="1"/>
    <col min="1320" max="1320" width="30.6640625" style="56" hidden="1"/>
    <col min="1321" max="1528" width="11.44140625" style="56" hidden="1"/>
    <col min="1529" max="1529" width="12.554687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88671875" style="56" hidden="1"/>
    <col min="1556" max="1556" width="10.109375" style="56" hidden="1"/>
    <col min="1557" max="1557" width="10.5546875" style="56" hidden="1"/>
    <col min="1558" max="1558" width="9.554687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88671875" style="56" hidden="1"/>
    <col min="1573" max="1575" width="11.44140625" style="56" hidden="1"/>
    <col min="1576" max="1576" width="30.6640625" style="56" hidden="1"/>
    <col min="1577" max="1784" width="11.44140625" style="56" hidden="1"/>
    <col min="1785" max="1785" width="12.554687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88671875" style="56" hidden="1"/>
    <col min="1812" max="1812" width="10.109375" style="56" hidden="1"/>
    <col min="1813" max="1813" width="10.5546875" style="56" hidden="1"/>
    <col min="1814" max="1814" width="9.554687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88671875" style="56" hidden="1"/>
    <col min="1829" max="1831" width="11.44140625" style="56" hidden="1"/>
    <col min="1832" max="1832" width="30.6640625" style="56" hidden="1"/>
    <col min="1833" max="2040" width="11.44140625" style="56" hidden="1"/>
    <col min="2041" max="2041" width="12.554687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88671875" style="56" hidden="1"/>
    <col min="2068" max="2068" width="10.109375" style="56" hidden="1"/>
    <col min="2069" max="2069" width="10.5546875" style="56" hidden="1"/>
    <col min="2070" max="2070" width="9.554687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88671875" style="56" hidden="1"/>
    <col min="2085" max="2087" width="11.44140625" style="56" hidden="1"/>
    <col min="2088" max="2088" width="30.6640625" style="56" hidden="1"/>
    <col min="2089" max="2296" width="11.44140625" style="56" hidden="1"/>
    <col min="2297" max="2297" width="12.554687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88671875" style="56" hidden="1"/>
    <col min="2324" max="2324" width="10.109375" style="56" hidden="1"/>
    <col min="2325" max="2325" width="10.5546875" style="56" hidden="1"/>
    <col min="2326" max="2326" width="9.554687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88671875" style="56" hidden="1"/>
    <col min="2341" max="2343" width="11.44140625" style="56" hidden="1"/>
    <col min="2344" max="2344" width="30.6640625" style="56" hidden="1"/>
    <col min="2345" max="2552" width="11.44140625" style="56" hidden="1"/>
    <col min="2553" max="2553" width="12.554687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88671875" style="56" hidden="1"/>
    <col min="2580" max="2580" width="10.109375" style="56" hidden="1"/>
    <col min="2581" max="2581" width="10.5546875" style="56" hidden="1"/>
    <col min="2582" max="2582" width="9.554687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88671875" style="56" hidden="1"/>
    <col min="2597" max="2599" width="11.44140625" style="56" hidden="1"/>
    <col min="2600" max="2600" width="30.6640625" style="56" hidden="1"/>
    <col min="2601" max="2808" width="11.44140625" style="56" hidden="1"/>
    <col min="2809" max="2809" width="12.554687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88671875" style="56" hidden="1"/>
    <col min="2836" max="2836" width="10.109375" style="56" hidden="1"/>
    <col min="2837" max="2837" width="10.5546875" style="56" hidden="1"/>
    <col min="2838" max="2838" width="9.554687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88671875" style="56" hidden="1"/>
    <col min="2853" max="2855" width="11.44140625" style="56" hidden="1"/>
    <col min="2856" max="2856" width="30.6640625" style="56" hidden="1"/>
    <col min="2857" max="3064" width="11.44140625" style="56" hidden="1"/>
    <col min="3065" max="3065" width="12.554687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88671875" style="56" hidden="1"/>
    <col min="3092" max="3092" width="10.109375" style="56" hidden="1"/>
    <col min="3093" max="3093" width="10.5546875" style="56" hidden="1"/>
    <col min="3094" max="3094" width="9.554687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88671875" style="56" hidden="1"/>
    <col min="3109" max="3111" width="11.44140625" style="56" hidden="1"/>
    <col min="3112" max="3112" width="30.6640625" style="56" hidden="1"/>
    <col min="3113" max="3320" width="11.44140625" style="56" hidden="1"/>
    <col min="3321" max="3321" width="12.554687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88671875" style="56" hidden="1"/>
    <col min="3348" max="3348" width="10.109375" style="56" hidden="1"/>
    <col min="3349" max="3349" width="10.5546875" style="56" hidden="1"/>
    <col min="3350" max="3350" width="9.554687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88671875" style="56" hidden="1"/>
    <col min="3365" max="3367" width="11.44140625" style="56" hidden="1"/>
    <col min="3368" max="3368" width="30.6640625" style="56" hidden="1"/>
    <col min="3369" max="3576" width="11.44140625" style="56" hidden="1"/>
    <col min="3577" max="3577" width="12.554687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88671875" style="56" hidden="1"/>
    <col min="3604" max="3604" width="10.109375" style="56" hidden="1"/>
    <col min="3605" max="3605" width="10.5546875" style="56" hidden="1"/>
    <col min="3606" max="3606" width="9.554687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88671875" style="56" hidden="1"/>
    <col min="3621" max="3623" width="11.44140625" style="56" hidden="1"/>
    <col min="3624" max="3624" width="30.6640625" style="56" hidden="1"/>
    <col min="3625" max="3832" width="11.44140625" style="56" hidden="1"/>
    <col min="3833" max="3833" width="12.554687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88671875" style="56" hidden="1"/>
    <col min="3860" max="3860" width="10.109375" style="56" hidden="1"/>
    <col min="3861" max="3861" width="10.5546875" style="56" hidden="1"/>
    <col min="3862" max="3862" width="9.554687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88671875" style="56" hidden="1"/>
    <col min="3877" max="3879" width="11.44140625" style="56" hidden="1"/>
    <col min="3880" max="3880" width="30.6640625" style="56" hidden="1"/>
    <col min="3881" max="4088" width="11.44140625" style="56" hidden="1"/>
    <col min="4089" max="4089" width="12.554687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88671875" style="56" hidden="1"/>
    <col min="4116" max="4116" width="10.109375" style="56" hidden="1"/>
    <col min="4117" max="4117" width="10.5546875" style="56" hidden="1"/>
    <col min="4118" max="4118" width="9.554687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88671875" style="56" hidden="1"/>
    <col min="4133" max="4135" width="11.44140625" style="56" hidden="1"/>
    <col min="4136" max="4136" width="30.6640625" style="56" hidden="1"/>
    <col min="4137" max="4344" width="11.44140625" style="56" hidden="1"/>
    <col min="4345" max="4345" width="12.554687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88671875" style="56" hidden="1"/>
    <col min="4372" max="4372" width="10.109375" style="56" hidden="1"/>
    <col min="4373" max="4373" width="10.5546875" style="56" hidden="1"/>
    <col min="4374" max="4374" width="9.554687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88671875" style="56" hidden="1"/>
    <col min="4389" max="4391" width="11.44140625" style="56" hidden="1"/>
    <col min="4392" max="4392" width="30.6640625" style="56" hidden="1"/>
    <col min="4393" max="4600" width="11.44140625" style="56" hidden="1"/>
    <col min="4601" max="4601" width="12.554687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88671875" style="56" hidden="1"/>
    <col min="4628" max="4628" width="10.109375" style="56" hidden="1"/>
    <col min="4629" max="4629" width="10.5546875" style="56" hidden="1"/>
    <col min="4630" max="4630" width="9.554687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88671875" style="56" hidden="1"/>
    <col min="4645" max="4647" width="11.44140625" style="56" hidden="1"/>
    <col min="4648" max="4648" width="30.6640625" style="56" hidden="1"/>
    <col min="4649" max="4856" width="11.44140625" style="56" hidden="1"/>
    <col min="4857" max="4857" width="12.554687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88671875" style="56" hidden="1"/>
    <col min="4884" max="4884" width="10.109375" style="56" hidden="1"/>
    <col min="4885" max="4885" width="10.5546875" style="56" hidden="1"/>
    <col min="4886" max="4886" width="9.554687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88671875" style="56" hidden="1"/>
    <col min="4901" max="4903" width="11.44140625" style="56" hidden="1"/>
    <col min="4904" max="4904" width="30.6640625" style="56" hidden="1"/>
    <col min="4905" max="5112" width="11.44140625" style="56" hidden="1"/>
    <col min="5113" max="5113" width="12.554687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88671875" style="56" hidden="1"/>
    <col min="5140" max="5140" width="10.109375" style="56" hidden="1"/>
    <col min="5141" max="5141" width="10.5546875" style="56" hidden="1"/>
    <col min="5142" max="5142" width="9.554687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88671875" style="56" hidden="1"/>
    <col min="5157" max="5159" width="11.44140625" style="56" hidden="1"/>
    <col min="5160" max="5160" width="30.6640625" style="56" hidden="1"/>
    <col min="5161" max="5368" width="11.44140625" style="56" hidden="1"/>
    <col min="5369" max="5369" width="12.554687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88671875" style="56" hidden="1"/>
    <col min="5396" max="5396" width="10.109375" style="56" hidden="1"/>
    <col min="5397" max="5397" width="10.5546875" style="56" hidden="1"/>
    <col min="5398" max="5398" width="9.554687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88671875" style="56" hidden="1"/>
    <col min="5413" max="5415" width="11.44140625" style="56" hidden="1"/>
    <col min="5416" max="5416" width="30.6640625" style="56" hidden="1"/>
    <col min="5417" max="5624" width="11.44140625" style="56" hidden="1"/>
    <col min="5625" max="5625" width="12.554687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88671875" style="56" hidden="1"/>
    <col min="5652" max="5652" width="10.109375" style="56" hidden="1"/>
    <col min="5653" max="5653" width="10.5546875" style="56" hidden="1"/>
    <col min="5654" max="5654" width="9.554687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88671875" style="56" hidden="1"/>
    <col min="5669" max="5671" width="11.44140625" style="56" hidden="1"/>
    <col min="5672" max="5672" width="30.6640625" style="56" hidden="1"/>
    <col min="5673" max="5880" width="11.44140625" style="56" hidden="1"/>
    <col min="5881" max="5881" width="12.554687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88671875" style="56" hidden="1"/>
    <col min="5908" max="5908" width="10.109375" style="56" hidden="1"/>
    <col min="5909" max="5909" width="10.5546875" style="56" hidden="1"/>
    <col min="5910" max="5910" width="9.554687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88671875" style="56" hidden="1"/>
    <col min="5925" max="5927" width="11.44140625" style="56" hidden="1"/>
    <col min="5928" max="5928" width="30.6640625" style="56" hidden="1"/>
    <col min="5929" max="6136" width="11.44140625" style="56" hidden="1"/>
    <col min="6137" max="6137" width="12.554687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88671875" style="56" hidden="1"/>
    <col min="6164" max="6164" width="10.109375" style="56" hidden="1"/>
    <col min="6165" max="6165" width="10.5546875" style="56" hidden="1"/>
    <col min="6166" max="6166" width="9.554687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88671875" style="56" hidden="1"/>
    <col min="6181" max="6183" width="11.44140625" style="56" hidden="1"/>
    <col min="6184" max="6184" width="30.6640625" style="56" hidden="1"/>
    <col min="6185" max="6392" width="11.44140625" style="56" hidden="1"/>
    <col min="6393" max="6393" width="12.554687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88671875" style="56" hidden="1"/>
    <col min="6420" max="6420" width="10.109375" style="56" hidden="1"/>
    <col min="6421" max="6421" width="10.5546875" style="56" hidden="1"/>
    <col min="6422" max="6422" width="9.554687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88671875" style="56" hidden="1"/>
    <col min="6437" max="6439" width="11.44140625" style="56" hidden="1"/>
    <col min="6440" max="6440" width="30.6640625" style="56" hidden="1"/>
    <col min="6441" max="6648" width="11.44140625" style="56" hidden="1"/>
    <col min="6649" max="6649" width="12.554687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88671875" style="56" hidden="1"/>
    <col min="6676" max="6676" width="10.109375" style="56" hidden="1"/>
    <col min="6677" max="6677" width="10.5546875" style="56" hidden="1"/>
    <col min="6678" max="6678" width="9.554687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88671875" style="56" hidden="1"/>
    <col min="6693" max="6695" width="11.44140625" style="56" hidden="1"/>
    <col min="6696" max="6696" width="30.6640625" style="56" hidden="1"/>
    <col min="6697" max="6904" width="11.44140625" style="56" hidden="1"/>
    <col min="6905" max="6905" width="12.554687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88671875" style="56" hidden="1"/>
    <col min="6932" max="6932" width="10.109375" style="56" hidden="1"/>
    <col min="6933" max="6933" width="10.5546875" style="56" hidden="1"/>
    <col min="6934" max="6934" width="9.554687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88671875" style="56" hidden="1"/>
    <col min="6949" max="6951" width="11.44140625" style="56" hidden="1"/>
    <col min="6952" max="6952" width="30.6640625" style="56" hidden="1"/>
    <col min="6953" max="7160" width="11.44140625" style="56" hidden="1"/>
    <col min="7161" max="7161" width="12.554687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88671875" style="56" hidden="1"/>
    <col min="7188" max="7188" width="10.109375" style="56" hidden="1"/>
    <col min="7189" max="7189" width="10.5546875" style="56" hidden="1"/>
    <col min="7190" max="7190" width="9.554687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88671875" style="56" hidden="1"/>
    <col min="7205" max="7207" width="11.44140625" style="56" hidden="1"/>
    <col min="7208" max="7208" width="30.6640625" style="56" hidden="1"/>
    <col min="7209" max="7416" width="11.44140625" style="56" hidden="1"/>
    <col min="7417" max="7417" width="12.554687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88671875" style="56" hidden="1"/>
    <col min="7444" max="7444" width="10.109375" style="56" hidden="1"/>
    <col min="7445" max="7445" width="10.5546875" style="56" hidden="1"/>
    <col min="7446" max="7446" width="9.554687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88671875" style="56" hidden="1"/>
    <col min="7461" max="7463" width="11.44140625" style="56" hidden="1"/>
    <col min="7464" max="7464" width="30.6640625" style="56" hidden="1"/>
    <col min="7465" max="7672" width="11.44140625" style="56" hidden="1"/>
    <col min="7673" max="7673" width="12.554687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88671875" style="56" hidden="1"/>
    <col min="7700" max="7700" width="10.109375" style="56" hidden="1"/>
    <col min="7701" max="7701" width="10.5546875" style="56" hidden="1"/>
    <col min="7702" max="7702" width="9.554687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88671875" style="56" hidden="1"/>
    <col min="7717" max="7719" width="11.44140625" style="56" hidden="1"/>
    <col min="7720" max="7720" width="30.6640625" style="56" hidden="1"/>
    <col min="7721" max="7928" width="11.44140625" style="56" hidden="1"/>
    <col min="7929" max="7929" width="12.554687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88671875" style="56" hidden="1"/>
    <col min="7956" max="7956" width="10.109375" style="56" hidden="1"/>
    <col min="7957" max="7957" width="10.5546875" style="56" hidden="1"/>
    <col min="7958" max="7958" width="9.554687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88671875" style="56" hidden="1"/>
    <col min="7973" max="7975" width="11.44140625" style="56" hidden="1"/>
    <col min="7976" max="7976" width="30.6640625" style="56" hidden="1"/>
    <col min="7977" max="8184" width="11.44140625" style="56" hidden="1"/>
    <col min="8185" max="8185" width="12.554687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88671875" style="56" hidden="1"/>
    <col min="8212" max="8212" width="10.109375" style="56" hidden="1"/>
    <col min="8213" max="8213" width="10.5546875" style="56" hidden="1"/>
    <col min="8214" max="8214" width="9.554687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88671875" style="56" hidden="1"/>
    <col min="8229" max="8231" width="11.44140625" style="56" hidden="1"/>
    <col min="8232" max="8232" width="30.6640625" style="56" hidden="1"/>
    <col min="8233" max="8440" width="11.44140625" style="56" hidden="1"/>
    <col min="8441" max="8441" width="12.554687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88671875" style="56" hidden="1"/>
    <col min="8468" max="8468" width="10.109375" style="56" hidden="1"/>
    <col min="8469" max="8469" width="10.5546875" style="56" hidden="1"/>
    <col min="8470" max="8470" width="9.554687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88671875" style="56" hidden="1"/>
    <col min="8485" max="8487" width="11.44140625" style="56" hidden="1"/>
    <col min="8488" max="8488" width="30.6640625" style="56" hidden="1"/>
    <col min="8489" max="8696" width="11.44140625" style="56" hidden="1"/>
    <col min="8697" max="8697" width="12.554687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88671875" style="56" hidden="1"/>
    <col min="8724" max="8724" width="10.109375" style="56" hidden="1"/>
    <col min="8725" max="8725" width="10.5546875" style="56" hidden="1"/>
    <col min="8726" max="8726" width="9.554687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88671875" style="56" hidden="1"/>
    <col min="8741" max="8743" width="11.44140625" style="56" hidden="1"/>
    <col min="8744" max="8744" width="30.6640625" style="56" hidden="1"/>
    <col min="8745" max="8952" width="11.44140625" style="56" hidden="1"/>
    <col min="8953" max="8953" width="12.554687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88671875" style="56" hidden="1"/>
    <col min="8980" max="8980" width="10.109375" style="56" hidden="1"/>
    <col min="8981" max="8981" width="10.5546875" style="56" hidden="1"/>
    <col min="8982" max="8982" width="9.554687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88671875" style="56" hidden="1"/>
    <col min="8997" max="8999" width="11.44140625" style="56" hidden="1"/>
    <col min="9000" max="9000" width="30.6640625" style="56" hidden="1"/>
    <col min="9001" max="9208" width="11.44140625" style="56" hidden="1"/>
    <col min="9209" max="9209" width="12.554687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88671875" style="56" hidden="1"/>
    <col min="9236" max="9236" width="10.109375" style="56" hidden="1"/>
    <col min="9237" max="9237" width="10.5546875" style="56" hidden="1"/>
    <col min="9238" max="9238" width="9.554687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88671875" style="56" hidden="1"/>
    <col min="9253" max="9255" width="11.44140625" style="56" hidden="1"/>
    <col min="9256" max="9256" width="30.6640625" style="56" hidden="1"/>
    <col min="9257" max="9464" width="11.44140625" style="56" hidden="1"/>
    <col min="9465" max="9465" width="12.554687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88671875" style="56" hidden="1"/>
    <col min="9492" max="9492" width="10.109375" style="56" hidden="1"/>
    <col min="9493" max="9493" width="10.5546875" style="56" hidden="1"/>
    <col min="9494" max="9494" width="9.554687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88671875" style="56" hidden="1"/>
    <col min="9509" max="9511" width="11.44140625" style="56" hidden="1"/>
    <col min="9512" max="9512" width="30.6640625" style="56" hidden="1"/>
    <col min="9513" max="9720" width="11.44140625" style="56" hidden="1"/>
    <col min="9721" max="9721" width="12.554687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88671875" style="56" hidden="1"/>
    <col min="9748" max="9748" width="10.109375" style="56" hidden="1"/>
    <col min="9749" max="9749" width="10.5546875" style="56" hidden="1"/>
    <col min="9750" max="9750" width="9.554687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88671875" style="56" hidden="1"/>
    <col min="9765" max="9767" width="11.44140625" style="56" hidden="1"/>
    <col min="9768" max="9768" width="30.6640625" style="56" hidden="1"/>
    <col min="9769" max="9976" width="11.44140625" style="56" hidden="1"/>
    <col min="9977" max="9977" width="12.554687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88671875" style="56" hidden="1"/>
    <col min="10004" max="10004" width="10.109375" style="56" hidden="1"/>
    <col min="10005" max="10005" width="10.5546875" style="56" hidden="1"/>
    <col min="10006" max="10006" width="9.554687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88671875" style="56" hidden="1"/>
    <col min="10021" max="10023" width="11.44140625" style="56" hidden="1"/>
    <col min="10024" max="10024" width="30.6640625" style="56" hidden="1"/>
    <col min="10025" max="10232" width="11.44140625" style="56" hidden="1"/>
    <col min="10233" max="10233" width="12.554687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88671875" style="56" hidden="1"/>
    <col min="10260" max="10260" width="10.109375" style="56" hidden="1"/>
    <col min="10261" max="10261" width="10.5546875" style="56" hidden="1"/>
    <col min="10262" max="10262" width="9.554687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88671875" style="56" hidden="1"/>
    <col min="10277" max="10279" width="11.44140625" style="56" hidden="1"/>
    <col min="10280" max="10280" width="30.6640625" style="56" hidden="1"/>
    <col min="10281" max="10488" width="11.44140625" style="56" hidden="1"/>
    <col min="10489" max="10489" width="12.554687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88671875" style="56" hidden="1"/>
    <col min="10516" max="10516" width="10.109375" style="56" hidden="1"/>
    <col min="10517" max="10517" width="10.5546875" style="56" hidden="1"/>
    <col min="10518" max="10518" width="9.554687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88671875" style="56" hidden="1"/>
    <col min="10533" max="10535" width="11.44140625" style="56" hidden="1"/>
    <col min="10536" max="10536" width="30.6640625" style="56" hidden="1"/>
    <col min="10537" max="10744" width="11.44140625" style="56" hidden="1"/>
    <col min="10745" max="10745" width="12.554687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88671875" style="56" hidden="1"/>
    <col min="10772" max="10772" width="10.109375" style="56" hidden="1"/>
    <col min="10773" max="10773" width="10.5546875" style="56" hidden="1"/>
    <col min="10774" max="10774" width="9.554687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88671875" style="56" hidden="1"/>
    <col min="10789" max="10791" width="11.44140625" style="56" hidden="1"/>
    <col min="10792" max="10792" width="30.6640625" style="56" hidden="1"/>
    <col min="10793" max="11000" width="11.44140625" style="56" hidden="1"/>
    <col min="11001" max="11001" width="12.554687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88671875" style="56" hidden="1"/>
    <col min="11028" max="11028" width="10.109375" style="56" hidden="1"/>
    <col min="11029" max="11029" width="10.5546875" style="56" hidden="1"/>
    <col min="11030" max="11030" width="9.554687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88671875" style="56" hidden="1"/>
    <col min="11045" max="11047" width="11.44140625" style="56" hidden="1"/>
    <col min="11048" max="11048" width="30.6640625" style="56" hidden="1"/>
    <col min="11049" max="11256" width="11.44140625" style="56" hidden="1"/>
    <col min="11257" max="11257" width="12.554687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88671875" style="56" hidden="1"/>
    <col min="11284" max="11284" width="10.109375" style="56" hidden="1"/>
    <col min="11285" max="11285" width="10.5546875" style="56" hidden="1"/>
    <col min="11286" max="11286" width="9.554687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88671875" style="56" hidden="1"/>
    <col min="11301" max="11303" width="11.44140625" style="56" hidden="1"/>
    <col min="11304" max="11304" width="30.6640625" style="56" hidden="1"/>
    <col min="11305" max="11512" width="11.44140625" style="56" hidden="1"/>
    <col min="11513" max="11513" width="12.554687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88671875" style="56" hidden="1"/>
    <col min="11540" max="11540" width="10.109375" style="56" hidden="1"/>
    <col min="11541" max="11541" width="10.5546875" style="56" hidden="1"/>
    <col min="11542" max="11542" width="9.554687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88671875" style="56" hidden="1"/>
    <col min="11557" max="11559" width="11.44140625" style="56" hidden="1"/>
    <col min="11560" max="11560" width="30.6640625" style="56" hidden="1"/>
    <col min="11561" max="11768" width="11.44140625" style="56" hidden="1"/>
    <col min="11769" max="11769" width="12.554687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88671875" style="56" hidden="1"/>
    <col min="11796" max="11796" width="10.109375" style="56" hidden="1"/>
    <col min="11797" max="11797" width="10.5546875" style="56" hidden="1"/>
    <col min="11798" max="11798" width="9.554687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88671875" style="56" hidden="1"/>
    <col min="11813" max="11815" width="11.44140625" style="56" hidden="1"/>
    <col min="11816" max="11816" width="30.6640625" style="56" hidden="1"/>
    <col min="11817" max="12024" width="11.44140625" style="56" hidden="1"/>
    <col min="12025" max="12025" width="12.554687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88671875" style="56" hidden="1"/>
    <col min="12052" max="12052" width="10.109375" style="56" hidden="1"/>
    <col min="12053" max="12053" width="10.5546875" style="56" hidden="1"/>
    <col min="12054" max="12054" width="9.554687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88671875" style="56" hidden="1"/>
    <col min="12069" max="12071" width="11.44140625" style="56" hidden="1"/>
    <col min="12072" max="12072" width="30.6640625" style="56" hidden="1"/>
    <col min="12073" max="12280" width="11.44140625" style="56" hidden="1"/>
    <col min="12281" max="12281" width="12.554687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88671875" style="56" hidden="1"/>
    <col min="12308" max="12308" width="10.109375" style="56" hidden="1"/>
    <col min="12309" max="12309" width="10.5546875" style="56" hidden="1"/>
    <col min="12310" max="12310" width="9.554687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88671875" style="56" hidden="1"/>
    <col min="12325" max="12327" width="11.44140625" style="56" hidden="1"/>
    <col min="12328" max="12328" width="30.6640625" style="56" hidden="1"/>
    <col min="12329" max="12536" width="11.44140625" style="56" hidden="1"/>
    <col min="12537" max="12537" width="12.554687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88671875" style="56" hidden="1"/>
    <col min="12564" max="12564" width="10.109375" style="56" hidden="1"/>
    <col min="12565" max="12565" width="10.5546875" style="56" hidden="1"/>
    <col min="12566" max="12566" width="9.554687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88671875" style="56" hidden="1"/>
    <col min="12581" max="12583" width="11.44140625" style="56" hidden="1"/>
    <col min="12584" max="12584" width="30.6640625" style="56" hidden="1"/>
    <col min="12585" max="12792" width="11.44140625" style="56" hidden="1"/>
    <col min="12793" max="12793" width="12.554687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88671875" style="56" hidden="1"/>
    <col min="12820" max="12820" width="10.109375" style="56" hidden="1"/>
    <col min="12821" max="12821" width="10.5546875" style="56" hidden="1"/>
    <col min="12822" max="12822" width="9.554687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88671875" style="56" hidden="1"/>
    <col min="12837" max="12839" width="11.44140625" style="56" hidden="1"/>
    <col min="12840" max="12840" width="30.6640625" style="56" hidden="1"/>
    <col min="12841" max="13048" width="11.44140625" style="56" hidden="1"/>
    <col min="13049" max="13049" width="12.554687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88671875" style="56" hidden="1"/>
    <col min="13076" max="13076" width="10.109375" style="56" hidden="1"/>
    <col min="13077" max="13077" width="10.5546875" style="56" hidden="1"/>
    <col min="13078" max="13078" width="9.554687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88671875" style="56" hidden="1"/>
    <col min="13093" max="13095" width="11.44140625" style="56" hidden="1"/>
    <col min="13096" max="13096" width="30.6640625" style="56" hidden="1"/>
    <col min="13097" max="13304" width="11.44140625" style="56" hidden="1"/>
    <col min="13305" max="13305" width="12.554687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88671875" style="56" hidden="1"/>
    <col min="13332" max="13332" width="10.109375" style="56" hidden="1"/>
    <col min="13333" max="13333" width="10.5546875" style="56" hidden="1"/>
    <col min="13334" max="13334" width="9.554687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88671875" style="56" hidden="1"/>
    <col min="13349" max="13351" width="11.44140625" style="56" hidden="1"/>
    <col min="13352" max="13352" width="30.6640625" style="56" hidden="1"/>
    <col min="13353" max="13560" width="11.44140625" style="56" hidden="1"/>
    <col min="13561" max="13561" width="12.554687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88671875" style="56" hidden="1"/>
    <col min="13588" max="13588" width="10.109375" style="56" hidden="1"/>
    <col min="13589" max="13589" width="10.5546875" style="56" hidden="1"/>
    <col min="13590" max="13590" width="9.554687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88671875" style="56" hidden="1"/>
    <col min="13605" max="13607" width="11.44140625" style="56" hidden="1"/>
    <col min="13608" max="13608" width="30.6640625" style="56" hidden="1"/>
    <col min="13609" max="13816" width="11.44140625" style="56" hidden="1"/>
    <col min="13817" max="13817" width="12.554687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88671875" style="56" hidden="1"/>
    <col min="13844" max="13844" width="10.109375" style="56" hidden="1"/>
    <col min="13845" max="13845" width="10.5546875" style="56" hidden="1"/>
    <col min="13846" max="13846" width="9.554687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88671875" style="56" hidden="1"/>
    <col min="13861" max="13863" width="11.44140625" style="56" hidden="1"/>
    <col min="13864" max="13864" width="30.6640625" style="56" hidden="1"/>
    <col min="13865" max="14072" width="11.44140625" style="56" hidden="1"/>
    <col min="14073" max="14073" width="12.554687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88671875" style="56" hidden="1"/>
    <col min="14100" max="14100" width="10.109375" style="56" hidden="1"/>
    <col min="14101" max="14101" width="10.5546875" style="56" hidden="1"/>
    <col min="14102" max="14102" width="9.554687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88671875" style="56" hidden="1"/>
    <col min="14117" max="14119" width="11.44140625" style="56" hidden="1"/>
    <col min="14120" max="14120" width="30.6640625" style="56" hidden="1"/>
    <col min="14121" max="14328" width="11.44140625" style="56" hidden="1"/>
    <col min="14329" max="14329" width="12.554687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88671875" style="56" hidden="1"/>
    <col min="14356" max="14356" width="10.109375" style="56" hidden="1"/>
    <col min="14357" max="14357" width="10.5546875" style="56" hidden="1"/>
    <col min="14358" max="14358" width="9.554687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88671875" style="56" hidden="1"/>
    <col min="14373" max="14375" width="11.44140625" style="56" hidden="1"/>
    <col min="14376" max="14376" width="30.6640625" style="56" hidden="1"/>
    <col min="14377" max="14584" width="11.44140625" style="56" hidden="1"/>
    <col min="14585" max="14585" width="12.554687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88671875" style="56" hidden="1"/>
    <col min="14612" max="14612" width="10.109375" style="56" hidden="1"/>
    <col min="14613" max="14613" width="10.5546875" style="56" hidden="1"/>
    <col min="14614" max="14614" width="9.554687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88671875" style="56" hidden="1"/>
    <col min="14629" max="14631" width="11.44140625" style="56" hidden="1"/>
    <col min="14632" max="14632" width="30.6640625" style="56" hidden="1"/>
    <col min="14633" max="14840" width="11.44140625" style="56" hidden="1"/>
    <col min="14841" max="14841" width="12.554687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88671875" style="56" hidden="1"/>
    <col min="14868" max="14868" width="10.109375" style="56" hidden="1"/>
    <col min="14869" max="14869" width="10.5546875" style="56" hidden="1"/>
    <col min="14870" max="14870" width="9.554687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88671875" style="56" hidden="1"/>
    <col min="14885" max="14887" width="11.44140625" style="56" hidden="1"/>
    <col min="14888" max="14888" width="30.6640625" style="56" hidden="1"/>
    <col min="14889" max="15096" width="11.44140625" style="56" hidden="1"/>
    <col min="15097" max="15097" width="12.554687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88671875" style="56" hidden="1"/>
    <col min="15124" max="15124" width="10.109375" style="56" hidden="1"/>
    <col min="15125" max="15125" width="10.5546875" style="56" hidden="1"/>
    <col min="15126" max="15126" width="9.554687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88671875" style="56" hidden="1"/>
    <col min="15141" max="15143" width="11.44140625" style="56" hidden="1"/>
    <col min="15144" max="15144" width="30.6640625" style="56" hidden="1"/>
    <col min="15145" max="15352" width="11.44140625" style="56" hidden="1"/>
    <col min="15353" max="15353" width="12.554687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88671875" style="56" hidden="1"/>
    <col min="15380" max="15380" width="10.109375" style="56" hidden="1"/>
    <col min="15381" max="15381" width="10.5546875" style="56" hidden="1"/>
    <col min="15382" max="15382" width="9.554687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88671875" style="56" hidden="1"/>
    <col min="15397" max="15399" width="11.44140625" style="56" hidden="1"/>
    <col min="15400" max="15400" width="30.6640625" style="56" hidden="1"/>
    <col min="15401" max="15608" width="11.44140625" style="56" hidden="1"/>
    <col min="15609" max="15609" width="12.554687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88671875" style="56" hidden="1"/>
    <col min="15636" max="15636" width="10.109375" style="56" hidden="1"/>
    <col min="15637" max="15637" width="10.5546875" style="56" hidden="1"/>
    <col min="15638" max="15638" width="9.554687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88671875" style="56" hidden="1"/>
    <col min="15653" max="15655" width="11.44140625" style="56" hidden="1"/>
    <col min="15656" max="15656" width="30.6640625" style="56" hidden="1"/>
    <col min="15657" max="15864" width="11.44140625" style="56" hidden="1"/>
    <col min="15865" max="15865" width="12.554687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88671875" style="56" hidden="1"/>
    <col min="15892" max="15892" width="10.109375" style="56" hidden="1"/>
    <col min="15893" max="15893" width="10.5546875" style="56" hidden="1"/>
    <col min="15894" max="15894" width="9.554687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88671875" style="56" hidden="1"/>
    <col min="15909" max="15911" width="11.44140625" style="56" hidden="1"/>
    <col min="15912" max="15912" width="30.6640625" style="56" hidden="1"/>
    <col min="15913" max="16120" width="11.44140625" style="56" hidden="1"/>
    <col min="16121" max="16121" width="12.554687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88671875" style="56" hidden="1"/>
    <col min="16148" max="16148" width="10.109375" style="56" hidden="1"/>
    <col min="16149" max="16149" width="10.5546875" style="56" hidden="1"/>
    <col min="16150" max="16150" width="9.554687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88671875" style="56" hidden="1"/>
    <col min="16165" max="16167" width="11.44140625" style="56" hidden="1"/>
    <col min="16168" max="16168" width="30.6640625" style="56" hidden="1"/>
    <col min="16169" max="16384" width="11.44140625" style="56" hidden="1"/>
  </cols>
  <sheetData>
    <row r="1" spans="1:37" x14ac:dyDescent="0.3">
      <c r="A1" s="76" t="s">
        <v>211</v>
      </c>
      <c r="B1" s="151" t="s">
        <v>528</v>
      </c>
      <c r="C1" s="74" t="s">
        <v>178</v>
      </c>
      <c r="D1" s="152" t="s">
        <v>520</v>
      </c>
      <c r="E1" s="236" t="s">
        <v>514</v>
      </c>
      <c r="F1" s="236"/>
      <c r="G1" s="236"/>
      <c r="H1" s="236"/>
      <c r="I1" s="236"/>
      <c r="J1" s="236"/>
      <c r="K1" s="236"/>
      <c r="L1" s="236"/>
      <c r="M1" s="236"/>
      <c r="N1" s="236"/>
      <c r="O1" s="236"/>
      <c r="P1" s="236"/>
      <c r="Q1" s="236"/>
      <c r="R1" s="236"/>
      <c r="S1" s="236"/>
      <c r="T1" s="236"/>
      <c r="U1" s="236"/>
      <c r="V1" s="236"/>
      <c r="W1" s="66"/>
      <c r="X1" s="66"/>
      <c r="Y1" s="66"/>
      <c r="Z1" s="66"/>
      <c r="AA1" s="66"/>
      <c r="AB1" s="66"/>
      <c r="AC1" s="59"/>
      <c r="AD1" s="59"/>
      <c r="AE1" s="59"/>
      <c r="AF1" s="80"/>
      <c r="AG1" s="59"/>
      <c r="AH1" s="59"/>
      <c r="AI1" s="59"/>
      <c r="AJ1" s="59"/>
    </row>
    <row r="2" spans="1:37" ht="14.4" x14ac:dyDescent="0.3">
      <c r="A2" s="76" t="s">
        <v>212</v>
      </c>
      <c r="B2" s="221">
        <v>2021</v>
      </c>
      <c r="C2" s="74" t="s">
        <v>179</v>
      </c>
      <c r="D2" s="218"/>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177</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105.6" customHeight="1" x14ac:dyDescent="0.3">
      <c r="A4" s="139" t="s">
        <v>245</v>
      </c>
      <c r="B4" s="140" t="s">
        <v>213</v>
      </c>
      <c r="C4" s="140" t="s">
        <v>214</v>
      </c>
      <c r="D4" s="140" t="s">
        <v>215</v>
      </c>
      <c r="E4" s="237" t="s">
        <v>216</v>
      </c>
      <c r="F4" s="237" t="s">
        <v>217</v>
      </c>
      <c r="G4" s="237" t="s">
        <v>218</v>
      </c>
      <c r="H4" s="237" t="s">
        <v>219</v>
      </c>
      <c r="I4" s="237" t="s">
        <v>220</v>
      </c>
      <c r="J4" s="237" t="s">
        <v>221</v>
      </c>
      <c r="K4" s="237" t="s">
        <v>222</v>
      </c>
      <c r="L4" s="237" t="s">
        <v>223</v>
      </c>
      <c r="M4" s="237" t="s">
        <v>224</v>
      </c>
      <c r="N4" s="237" t="s">
        <v>225</v>
      </c>
      <c r="O4" s="237" t="s">
        <v>226</v>
      </c>
      <c r="P4" s="237" t="s">
        <v>227</v>
      </c>
      <c r="Q4" s="237" t="s">
        <v>228</v>
      </c>
      <c r="R4" s="237" t="s">
        <v>229</v>
      </c>
      <c r="S4" s="237" t="s">
        <v>230</v>
      </c>
      <c r="T4" s="237" t="s">
        <v>231</v>
      </c>
      <c r="U4" s="237" t="s">
        <v>232</v>
      </c>
      <c r="V4" s="141" t="s">
        <v>233</v>
      </c>
      <c r="W4" s="142" t="s">
        <v>234</v>
      </c>
      <c r="X4" s="239" t="s">
        <v>521</v>
      </c>
      <c r="Y4" s="240"/>
      <c r="Z4" s="241"/>
      <c r="AA4" s="242" t="s">
        <v>325</v>
      </c>
      <c r="AB4" s="243"/>
      <c r="AC4" s="244"/>
      <c r="AD4" s="142" t="s">
        <v>235</v>
      </c>
      <c r="AE4" s="142" t="s">
        <v>236</v>
      </c>
      <c r="AF4" s="142" t="s">
        <v>237</v>
      </c>
      <c r="AG4" s="141" t="s">
        <v>238</v>
      </c>
      <c r="AH4" s="141" t="s">
        <v>239</v>
      </c>
      <c r="AI4" s="141" t="s">
        <v>240</v>
      </c>
      <c r="AJ4" s="140" t="s">
        <v>241</v>
      </c>
    </row>
    <row r="5" spans="1:37" ht="20.399999999999999" customHeight="1" x14ac:dyDescent="0.3">
      <c r="A5" s="143"/>
      <c r="B5" s="144"/>
      <c r="C5" s="145"/>
      <c r="D5" s="146"/>
      <c r="E5" s="238"/>
      <c r="F5" s="238"/>
      <c r="G5" s="238"/>
      <c r="H5" s="238"/>
      <c r="I5" s="238"/>
      <c r="J5" s="238"/>
      <c r="K5" s="238"/>
      <c r="L5" s="238"/>
      <c r="M5" s="238"/>
      <c r="N5" s="238"/>
      <c r="O5" s="238"/>
      <c r="P5" s="238"/>
      <c r="Q5" s="238"/>
      <c r="R5" s="238"/>
      <c r="S5" s="238"/>
      <c r="T5" s="238"/>
      <c r="U5" s="238"/>
      <c r="V5" s="147" t="s">
        <v>242</v>
      </c>
      <c r="W5" s="147" t="s">
        <v>242</v>
      </c>
      <c r="X5" s="148" t="s">
        <v>6</v>
      </c>
      <c r="Y5" s="148" t="s">
        <v>243</v>
      </c>
      <c r="Z5" s="140" t="s">
        <v>244</v>
      </c>
      <c r="AA5" s="148" t="s">
        <v>6</v>
      </c>
      <c r="AB5" s="148" t="s">
        <v>243</v>
      </c>
      <c r="AC5" s="140" t="s">
        <v>244</v>
      </c>
      <c r="AD5" s="147" t="s">
        <v>242</v>
      </c>
      <c r="AE5" s="147" t="s">
        <v>242</v>
      </c>
      <c r="AF5" s="147" t="s">
        <v>242</v>
      </c>
      <c r="AG5" s="149" t="s">
        <v>441</v>
      </c>
      <c r="AH5" s="149" t="s">
        <v>441</v>
      </c>
      <c r="AI5" s="149" t="s">
        <v>441</v>
      </c>
      <c r="AJ5" s="150"/>
      <c r="AK5" s="61"/>
    </row>
    <row r="6" spans="1:37" s="94" customFormat="1" ht="41.4" x14ac:dyDescent="0.3">
      <c r="A6" s="170" t="s">
        <v>246</v>
      </c>
      <c r="B6" s="172" t="s">
        <v>527</v>
      </c>
      <c r="C6" s="172" t="s">
        <v>527</v>
      </c>
      <c r="D6" s="173" t="s">
        <v>526</v>
      </c>
      <c r="E6" s="173"/>
      <c r="F6" s="173"/>
      <c r="G6" s="173"/>
      <c r="H6" s="173"/>
      <c r="I6" s="173"/>
      <c r="J6" s="173"/>
      <c r="K6" s="173"/>
      <c r="L6" s="173" t="s">
        <v>10</v>
      </c>
      <c r="M6" s="173"/>
      <c r="N6" s="173"/>
      <c r="O6" s="173"/>
      <c r="P6" s="173"/>
      <c r="Q6" s="173"/>
      <c r="R6" s="173"/>
      <c r="S6" s="173"/>
      <c r="T6" s="173"/>
      <c r="U6" s="173"/>
      <c r="V6" s="173" t="s">
        <v>397</v>
      </c>
      <c r="W6" s="173"/>
      <c r="X6" s="219"/>
      <c r="Y6" s="181"/>
      <c r="Z6" s="181"/>
      <c r="AA6" s="219">
        <v>17941415</v>
      </c>
      <c r="AB6" s="181"/>
      <c r="AC6" s="181"/>
      <c r="AD6" s="173" t="s">
        <v>432</v>
      </c>
      <c r="AE6" s="173" t="s">
        <v>432</v>
      </c>
      <c r="AF6" s="173" t="s">
        <v>452</v>
      </c>
      <c r="AG6" s="222"/>
      <c r="AH6" s="184"/>
      <c r="AI6" s="223"/>
      <c r="AJ6" s="174"/>
      <c r="AK6" s="81"/>
    </row>
    <row r="7" spans="1:37" s="95" customFormat="1" ht="13.8" customHeight="1" x14ac:dyDescent="0.3">
      <c r="A7" s="171" t="s">
        <v>247</v>
      </c>
      <c r="B7" s="172" t="s">
        <v>523</v>
      </c>
      <c r="C7" s="175"/>
      <c r="D7" s="176"/>
      <c r="E7" s="176"/>
      <c r="F7" s="176"/>
      <c r="G7" s="176"/>
      <c r="H7" s="176"/>
      <c r="I7" s="176"/>
      <c r="J7" s="176"/>
      <c r="K7" s="176"/>
      <c r="L7" s="176"/>
      <c r="M7" s="176"/>
      <c r="N7" s="176"/>
      <c r="O7" s="176"/>
      <c r="P7" s="176"/>
      <c r="Q7" s="176"/>
      <c r="R7" s="176"/>
      <c r="S7" s="176"/>
      <c r="T7" s="176"/>
      <c r="U7" s="176"/>
      <c r="V7" s="173"/>
      <c r="W7" s="173"/>
      <c r="X7" s="220"/>
      <c r="Y7" s="182"/>
      <c r="Z7" s="182"/>
      <c r="AA7" s="220"/>
      <c r="AB7" s="182"/>
      <c r="AC7" s="182"/>
      <c r="AD7" s="173"/>
      <c r="AE7" s="173"/>
      <c r="AF7" s="173"/>
      <c r="AG7" s="222"/>
      <c r="AH7" s="185"/>
      <c r="AI7" s="223"/>
      <c r="AJ7" s="177"/>
      <c r="AK7" s="81"/>
    </row>
    <row r="8" spans="1:37" s="81" customFormat="1" x14ac:dyDescent="0.3">
      <c r="A8" s="170" t="s">
        <v>248</v>
      </c>
      <c r="B8" s="172" t="s">
        <v>524</v>
      </c>
      <c r="C8" s="172"/>
      <c r="D8" s="173"/>
      <c r="E8" s="173"/>
      <c r="F8" s="173"/>
      <c r="G8" s="173"/>
      <c r="H8" s="173"/>
      <c r="I8" s="173"/>
      <c r="J8" s="173"/>
      <c r="K8" s="173"/>
      <c r="L8" s="173"/>
      <c r="M8" s="173"/>
      <c r="N8" s="173"/>
      <c r="O8" s="173"/>
      <c r="P8" s="173"/>
      <c r="Q8" s="173"/>
      <c r="R8" s="173"/>
      <c r="S8" s="173"/>
      <c r="T8" s="173"/>
      <c r="U8" s="173"/>
      <c r="V8" s="173"/>
      <c r="W8" s="173"/>
      <c r="X8" s="219"/>
      <c r="Y8" s="181"/>
      <c r="Z8" s="181"/>
      <c r="AA8" s="219"/>
      <c r="AB8" s="181"/>
      <c r="AC8" s="181"/>
      <c r="AD8" s="173"/>
      <c r="AE8" s="173"/>
      <c r="AF8" s="173"/>
      <c r="AG8" s="222"/>
      <c r="AH8" s="184"/>
      <c r="AI8" s="223"/>
      <c r="AJ8" s="174"/>
    </row>
    <row r="9" spans="1:37" s="95" customFormat="1" x14ac:dyDescent="0.3">
      <c r="A9" s="171" t="s">
        <v>249</v>
      </c>
      <c r="B9" s="172" t="s">
        <v>525</v>
      </c>
      <c r="C9" s="175"/>
      <c r="D9" s="176"/>
      <c r="E9" s="176"/>
      <c r="F9" s="176"/>
      <c r="G9" s="176"/>
      <c r="H9" s="176"/>
      <c r="I9" s="176"/>
      <c r="J9" s="176"/>
      <c r="K9" s="176"/>
      <c r="L9" s="176"/>
      <c r="M9" s="176"/>
      <c r="N9" s="176"/>
      <c r="O9" s="176"/>
      <c r="P9" s="176"/>
      <c r="Q9" s="176"/>
      <c r="R9" s="176"/>
      <c r="S9" s="176"/>
      <c r="T9" s="176"/>
      <c r="U9" s="176"/>
      <c r="V9" s="176"/>
      <c r="W9" s="176"/>
      <c r="X9" s="182"/>
      <c r="Y9" s="182"/>
      <c r="Z9" s="182"/>
      <c r="AA9" s="220"/>
      <c r="AB9" s="182"/>
      <c r="AC9" s="182"/>
      <c r="AD9" s="176"/>
      <c r="AE9" s="176"/>
      <c r="AF9" s="176"/>
      <c r="AG9" s="224"/>
      <c r="AH9" s="185"/>
      <c r="AI9" s="185"/>
      <c r="AJ9" s="177"/>
      <c r="AK9" s="81"/>
    </row>
    <row r="10" spans="1:37" s="81" customFormat="1" x14ac:dyDescent="0.3">
      <c r="A10" s="170" t="s">
        <v>250</v>
      </c>
      <c r="B10" s="172" t="s">
        <v>287</v>
      </c>
      <c r="C10" s="172"/>
      <c r="D10" s="173"/>
      <c r="E10" s="173"/>
      <c r="F10" s="173"/>
      <c r="G10" s="173"/>
      <c r="H10" s="173"/>
      <c r="I10" s="173"/>
      <c r="J10" s="173"/>
      <c r="K10" s="173"/>
      <c r="L10" s="173"/>
      <c r="M10" s="173"/>
      <c r="N10" s="173"/>
      <c r="O10" s="173"/>
      <c r="P10" s="173"/>
      <c r="Q10" s="173"/>
      <c r="R10" s="173"/>
      <c r="S10" s="173"/>
      <c r="T10" s="173"/>
      <c r="U10" s="173"/>
      <c r="V10" s="173"/>
      <c r="W10" s="173"/>
      <c r="X10" s="181"/>
      <c r="Y10" s="181"/>
      <c r="Z10" s="181"/>
      <c r="AA10" s="181"/>
      <c r="AB10" s="181"/>
      <c r="AC10" s="181"/>
      <c r="AD10" s="173"/>
      <c r="AE10" s="173"/>
      <c r="AF10" s="173"/>
      <c r="AG10" s="184"/>
      <c r="AH10" s="184"/>
      <c r="AI10" s="184"/>
      <c r="AJ10" s="174"/>
    </row>
    <row r="11" spans="1:37" s="95" customFormat="1" x14ac:dyDescent="0.3">
      <c r="A11" s="171" t="s">
        <v>251</v>
      </c>
      <c r="B11" s="175" t="s">
        <v>288</v>
      </c>
      <c r="C11" s="175"/>
      <c r="D11" s="176"/>
      <c r="E11" s="176"/>
      <c r="F11" s="176"/>
      <c r="G11" s="176"/>
      <c r="H11" s="176"/>
      <c r="I11" s="176"/>
      <c r="J11" s="176"/>
      <c r="K11" s="176"/>
      <c r="L11" s="176"/>
      <c r="M11" s="176"/>
      <c r="N11" s="176"/>
      <c r="O11" s="176"/>
      <c r="P11" s="176"/>
      <c r="Q11" s="176"/>
      <c r="R11" s="176"/>
      <c r="S11" s="176"/>
      <c r="T11" s="176"/>
      <c r="U11" s="176"/>
      <c r="V11" s="176"/>
      <c r="W11" s="176"/>
      <c r="X11" s="182"/>
      <c r="Y11" s="182"/>
      <c r="Z11" s="182"/>
      <c r="AA11" s="182"/>
      <c r="AB11" s="182"/>
      <c r="AC11" s="182"/>
      <c r="AD11" s="176"/>
      <c r="AE11" s="176"/>
      <c r="AF11" s="176"/>
      <c r="AG11" s="185"/>
      <c r="AH11" s="185"/>
      <c r="AI11" s="185"/>
      <c r="AJ11" s="177"/>
      <c r="AK11" s="81"/>
    </row>
    <row r="12" spans="1:37" s="81" customFormat="1" x14ac:dyDescent="0.3">
      <c r="A12" s="170" t="s">
        <v>252</v>
      </c>
      <c r="B12" s="172" t="s">
        <v>289</v>
      </c>
      <c r="C12" s="172"/>
      <c r="D12" s="173"/>
      <c r="E12" s="173"/>
      <c r="F12" s="173"/>
      <c r="G12" s="173"/>
      <c r="H12" s="173"/>
      <c r="I12" s="173"/>
      <c r="J12" s="173"/>
      <c r="K12" s="173"/>
      <c r="L12" s="173"/>
      <c r="M12" s="173"/>
      <c r="N12" s="173"/>
      <c r="O12" s="173"/>
      <c r="P12" s="173"/>
      <c r="Q12" s="173"/>
      <c r="R12" s="173"/>
      <c r="S12" s="173"/>
      <c r="T12" s="173"/>
      <c r="U12" s="173"/>
      <c r="V12" s="173"/>
      <c r="W12" s="173"/>
      <c r="X12" s="181"/>
      <c r="Y12" s="181"/>
      <c r="Z12" s="181"/>
      <c r="AA12" s="181"/>
      <c r="AB12" s="181"/>
      <c r="AC12" s="181"/>
      <c r="AD12" s="173"/>
      <c r="AE12" s="173"/>
      <c r="AF12" s="173"/>
      <c r="AG12" s="184"/>
      <c r="AH12" s="184"/>
      <c r="AI12" s="184"/>
      <c r="AJ12" s="174"/>
    </row>
    <row r="13" spans="1:37" s="95" customFormat="1" x14ac:dyDescent="0.3">
      <c r="A13" s="171" t="s">
        <v>253</v>
      </c>
      <c r="B13" s="175" t="s">
        <v>290</v>
      </c>
      <c r="C13" s="175"/>
      <c r="D13" s="176"/>
      <c r="E13" s="176"/>
      <c r="F13" s="176"/>
      <c r="G13" s="176"/>
      <c r="H13" s="176"/>
      <c r="I13" s="176"/>
      <c r="J13" s="176"/>
      <c r="K13" s="176"/>
      <c r="L13" s="176"/>
      <c r="M13" s="176"/>
      <c r="N13" s="176"/>
      <c r="O13" s="176"/>
      <c r="P13" s="176"/>
      <c r="Q13" s="176"/>
      <c r="R13" s="176"/>
      <c r="S13" s="176"/>
      <c r="T13" s="176"/>
      <c r="U13" s="176"/>
      <c r="V13" s="176"/>
      <c r="W13" s="176"/>
      <c r="X13" s="182"/>
      <c r="Y13" s="182"/>
      <c r="Z13" s="182"/>
      <c r="AA13" s="182"/>
      <c r="AB13" s="182"/>
      <c r="AC13" s="182"/>
      <c r="AD13" s="176"/>
      <c r="AE13" s="176"/>
      <c r="AF13" s="176"/>
      <c r="AG13" s="185"/>
      <c r="AH13" s="185"/>
      <c r="AI13" s="185"/>
      <c r="AJ13" s="177"/>
      <c r="AK13" s="81"/>
    </row>
    <row r="14" spans="1:37" s="81" customFormat="1" x14ac:dyDescent="0.3">
      <c r="A14" s="170" t="s">
        <v>254</v>
      </c>
      <c r="B14" s="172" t="s">
        <v>291</v>
      </c>
      <c r="C14" s="172"/>
      <c r="D14" s="173"/>
      <c r="E14" s="173"/>
      <c r="F14" s="173"/>
      <c r="G14" s="173"/>
      <c r="H14" s="173"/>
      <c r="I14" s="173"/>
      <c r="J14" s="173"/>
      <c r="K14" s="173"/>
      <c r="L14" s="173"/>
      <c r="M14" s="173"/>
      <c r="N14" s="173"/>
      <c r="O14" s="173"/>
      <c r="P14" s="173"/>
      <c r="Q14" s="173"/>
      <c r="R14" s="173"/>
      <c r="S14" s="173"/>
      <c r="T14" s="173"/>
      <c r="U14" s="173"/>
      <c r="V14" s="173"/>
      <c r="W14" s="173"/>
      <c r="X14" s="181"/>
      <c r="Y14" s="181"/>
      <c r="Z14" s="181"/>
      <c r="AA14" s="181"/>
      <c r="AB14" s="181"/>
      <c r="AC14" s="181"/>
      <c r="AD14" s="173"/>
      <c r="AE14" s="173"/>
      <c r="AF14" s="173"/>
      <c r="AG14" s="184"/>
      <c r="AH14" s="184"/>
      <c r="AI14" s="184"/>
      <c r="AJ14" s="174"/>
    </row>
    <row r="15" spans="1:37" s="95" customFormat="1" x14ac:dyDescent="0.3">
      <c r="A15" s="171" t="s">
        <v>255</v>
      </c>
      <c r="B15" s="175" t="s">
        <v>292</v>
      </c>
      <c r="C15" s="175"/>
      <c r="D15" s="176"/>
      <c r="E15" s="176"/>
      <c r="F15" s="176"/>
      <c r="G15" s="176"/>
      <c r="H15" s="176"/>
      <c r="I15" s="176"/>
      <c r="J15" s="176"/>
      <c r="K15" s="176"/>
      <c r="L15" s="176"/>
      <c r="M15" s="176"/>
      <c r="N15" s="176"/>
      <c r="O15" s="176"/>
      <c r="P15" s="176"/>
      <c r="Q15" s="176"/>
      <c r="R15" s="176"/>
      <c r="S15" s="176"/>
      <c r="T15" s="176"/>
      <c r="U15" s="176"/>
      <c r="V15" s="176"/>
      <c r="W15" s="176"/>
      <c r="X15" s="182"/>
      <c r="Y15" s="182"/>
      <c r="Z15" s="182"/>
      <c r="AA15" s="182"/>
      <c r="AB15" s="182"/>
      <c r="AC15" s="182"/>
      <c r="AD15" s="176"/>
      <c r="AE15" s="176"/>
      <c r="AF15" s="176"/>
      <c r="AG15" s="185"/>
      <c r="AH15" s="185"/>
      <c r="AI15" s="185"/>
      <c r="AJ15" s="177"/>
      <c r="AK15" s="81"/>
    </row>
    <row r="16" spans="1:37" s="81" customFormat="1" x14ac:dyDescent="0.3">
      <c r="A16" s="170" t="s">
        <v>256</v>
      </c>
      <c r="B16" s="172" t="s">
        <v>293</v>
      </c>
      <c r="C16" s="172"/>
      <c r="D16" s="173"/>
      <c r="E16" s="173"/>
      <c r="F16" s="173"/>
      <c r="G16" s="173"/>
      <c r="H16" s="173"/>
      <c r="I16" s="173"/>
      <c r="J16" s="173"/>
      <c r="K16" s="173"/>
      <c r="L16" s="173"/>
      <c r="M16" s="173"/>
      <c r="N16" s="173"/>
      <c r="O16" s="173"/>
      <c r="P16" s="173"/>
      <c r="Q16" s="173"/>
      <c r="R16" s="173"/>
      <c r="S16" s="173"/>
      <c r="T16" s="173"/>
      <c r="U16" s="173"/>
      <c r="V16" s="173"/>
      <c r="W16" s="173"/>
      <c r="X16" s="181"/>
      <c r="Y16" s="181"/>
      <c r="Z16" s="181"/>
      <c r="AA16" s="181"/>
      <c r="AB16" s="181"/>
      <c r="AC16" s="181"/>
      <c r="AD16" s="173"/>
      <c r="AE16" s="173"/>
      <c r="AF16" s="173"/>
      <c r="AG16" s="184"/>
      <c r="AH16" s="184"/>
      <c r="AI16" s="184"/>
      <c r="AJ16" s="174"/>
    </row>
    <row r="17" spans="1:37" s="95" customFormat="1" x14ac:dyDescent="0.3">
      <c r="A17" s="171" t="s">
        <v>257</v>
      </c>
      <c r="B17" s="175" t="s">
        <v>294</v>
      </c>
      <c r="C17" s="175"/>
      <c r="D17" s="176"/>
      <c r="E17" s="176"/>
      <c r="F17" s="176"/>
      <c r="G17" s="176"/>
      <c r="H17" s="176"/>
      <c r="I17" s="176"/>
      <c r="J17" s="176"/>
      <c r="K17" s="176"/>
      <c r="L17" s="176"/>
      <c r="M17" s="176"/>
      <c r="N17" s="176"/>
      <c r="O17" s="176"/>
      <c r="P17" s="176"/>
      <c r="Q17" s="176"/>
      <c r="R17" s="176"/>
      <c r="S17" s="176"/>
      <c r="T17" s="176"/>
      <c r="U17" s="176"/>
      <c r="V17" s="176"/>
      <c r="W17" s="176"/>
      <c r="X17" s="182"/>
      <c r="Y17" s="182"/>
      <c r="Z17" s="182"/>
      <c r="AA17" s="182"/>
      <c r="AB17" s="182"/>
      <c r="AC17" s="182"/>
      <c r="AD17" s="176"/>
      <c r="AE17" s="176"/>
      <c r="AF17" s="176"/>
      <c r="AG17" s="185"/>
      <c r="AH17" s="185"/>
      <c r="AI17" s="185"/>
      <c r="AJ17" s="177"/>
      <c r="AK17" s="81"/>
    </row>
    <row r="18" spans="1:37" s="81" customFormat="1" x14ac:dyDescent="0.3">
      <c r="A18" s="170" t="s">
        <v>258</v>
      </c>
      <c r="B18" s="172" t="s">
        <v>295</v>
      </c>
      <c r="C18" s="172"/>
      <c r="D18" s="173"/>
      <c r="E18" s="173"/>
      <c r="F18" s="173"/>
      <c r="G18" s="173"/>
      <c r="H18" s="173"/>
      <c r="I18" s="173"/>
      <c r="J18" s="173"/>
      <c r="K18" s="173"/>
      <c r="L18" s="173"/>
      <c r="M18" s="173"/>
      <c r="N18" s="173"/>
      <c r="O18" s="173"/>
      <c r="P18" s="173"/>
      <c r="Q18" s="173"/>
      <c r="R18" s="173"/>
      <c r="S18" s="173"/>
      <c r="T18" s="173"/>
      <c r="U18" s="173"/>
      <c r="V18" s="173"/>
      <c r="W18" s="173"/>
      <c r="X18" s="181"/>
      <c r="Y18" s="181"/>
      <c r="Z18" s="181"/>
      <c r="AA18" s="181"/>
      <c r="AB18" s="181"/>
      <c r="AC18" s="181"/>
      <c r="AD18" s="173"/>
      <c r="AE18" s="173"/>
      <c r="AF18" s="173"/>
      <c r="AG18" s="184"/>
      <c r="AH18" s="184"/>
      <c r="AI18" s="184"/>
      <c r="AJ18" s="174"/>
    </row>
    <row r="19" spans="1:37" s="95" customFormat="1" x14ac:dyDescent="0.3">
      <c r="A19" s="171" t="s">
        <v>259</v>
      </c>
      <c r="B19" s="175" t="s">
        <v>296</v>
      </c>
      <c r="C19" s="175"/>
      <c r="D19" s="176"/>
      <c r="E19" s="176"/>
      <c r="F19" s="176"/>
      <c r="G19" s="176"/>
      <c r="H19" s="176"/>
      <c r="I19" s="176"/>
      <c r="J19" s="176"/>
      <c r="K19" s="176"/>
      <c r="L19" s="176"/>
      <c r="M19" s="176"/>
      <c r="N19" s="176"/>
      <c r="O19" s="176"/>
      <c r="P19" s="176"/>
      <c r="Q19" s="176"/>
      <c r="R19" s="176"/>
      <c r="S19" s="176"/>
      <c r="T19" s="176"/>
      <c r="U19" s="176"/>
      <c r="V19" s="176"/>
      <c r="W19" s="176"/>
      <c r="X19" s="182"/>
      <c r="Y19" s="182"/>
      <c r="Z19" s="182"/>
      <c r="AA19" s="182"/>
      <c r="AB19" s="182"/>
      <c r="AC19" s="182"/>
      <c r="AD19" s="176"/>
      <c r="AE19" s="176"/>
      <c r="AF19" s="176"/>
      <c r="AG19" s="185"/>
      <c r="AH19" s="185"/>
      <c r="AI19" s="185"/>
      <c r="AJ19" s="177"/>
      <c r="AK19" s="81"/>
    </row>
    <row r="20" spans="1:37" s="81" customFormat="1" x14ac:dyDescent="0.3">
      <c r="A20" s="170" t="s">
        <v>260</v>
      </c>
      <c r="B20" s="172" t="s">
        <v>297</v>
      </c>
      <c r="C20" s="172"/>
      <c r="D20" s="173"/>
      <c r="E20" s="173"/>
      <c r="F20" s="173"/>
      <c r="G20" s="173"/>
      <c r="H20" s="173"/>
      <c r="I20" s="173"/>
      <c r="J20" s="173"/>
      <c r="K20" s="173"/>
      <c r="L20" s="173"/>
      <c r="M20" s="173"/>
      <c r="N20" s="173"/>
      <c r="O20" s="173"/>
      <c r="P20" s="173"/>
      <c r="Q20" s="173"/>
      <c r="R20" s="173"/>
      <c r="S20" s="173"/>
      <c r="T20" s="173"/>
      <c r="U20" s="173"/>
      <c r="V20" s="173"/>
      <c r="W20" s="173"/>
      <c r="X20" s="181"/>
      <c r="Y20" s="181"/>
      <c r="Z20" s="181"/>
      <c r="AA20" s="181"/>
      <c r="AB20" s="181"/>
      <c r="AC20" s="181"/>
      <c r="AD20" s="173"/>
      <c r="AE20" s="173"/>
      <c r="AF20" s="173"/>
      <c r="AG20" s="184"/>
      <c r="AH20" s="184"/>
      <c r="AI20" s="184"/>
      <c r="AJ20" s="174"/>
    </row>
    <row r="21" spans="1:37" s="95" customFormat="1" x14ac:dyDescent="0.3">
      <c r="A21" s="171" t="s">
        <v>261</v>
      </c>
      <c r="B21" s="175" t="s">
        <v>298</v>
      </c>
      <c r="C21" s="175"/>
      <c r="D21" s="176"/>
      <c r="E21" s="176"/>
      <c r="F21" s="176"/>
      <c r="G21" s="176"/>
      <c r="H21" s="176"/>
      <c r="I21" s="176"/>
      <c r="J21" s="176"/>
      <c r="K21" s="176"/>
      <c r="L21" s="176"/>
      <c r="M21" s="176"/>
      <c r="N21" s="176"/>
      <c r="O21" s="176"/>
      <c r="P21" s="176"/>
      <c r="Q21" s="176"/>
      <c r="R21" s="176"/>
      <c r="S21" s="176"/>
      <c r="T21" s="176"/>
      <c r="U21" s="176"/>
      <c r="V21" s="176"/>
      <c r="W21" s="176"/>
      <c r="X21" s="182"/>
      <c r="Y21" s="182"/>
      <c r="Z21" s="182"/>
      <c r="AA21" s="182"/>
      <c r="AB21" s="182"/>
      <c r="AC21" s="182"/>
      <c r="AD21" s="176"/>
      <c r="AE21" s="176"/>
      <c r="AF21" s="176"/>
      <c r="AG21" s="185"/>
      <c r="AH21" s="185"/>
      <c r="AI21" s="185"/>
      <c r="AJ21" s="177"/>
      <c r="AK21" s="81"/>
    </row>
    <row r="22" spans="1:37" s="81" customFormat="1" x14ac:dyDescent="0.3">
      <c r="A22" s="170" t="s">
        <v>262</v>
      </c>
      <c r="B22" s="172" t="s">
        <v>299</v>
      </c>
      <c r="C22" s="172"/>
      <c r="D22" s="173"/>
      <c r="E22" s="173"/>
      <c r="F22" s="173"/>
      <c r="G22" s="173"/>
      <c r="H22" s="173"/>
      <c r="I22" s="173"/>
      <c r="J22" s="173"/>
      <c r="K22" s="173"/>
      <c r="L22" s="173"/>
      <c r="M22" s="173"/>
      <c r="N22" s="173"/>
      <c r="O22" s="173"/>
      <c r="P22" s="173"/>
      <c r="Q22" s="173"/>
      <c r="R22" s="173"/>
      <c r="S22" s="173"/>
      <c r="T22" s="173"/>
      <c r="U22" s="173"/>
      <c r="V22" s="173"/>
      <c r="W22" s="173"/>
      <c r="X22" s="181"/>
      <c r="Y22" s="181"/>
      <c r="Z22" s="181"/>
      <c r="AA22" s="181"/>
      <c r="AB22" s="181"/>
      <c r="AC22" s="181"/>
      <c r="AD22" s="173"/>
      <c r="AE22" s="173"/>
      <c r="AF22" s="173"/>
      <c r="AG22" s="184"/>
      <c r="AH22" s="184"/>
      <c r="AI22" s="184"/>
      <c r="AJ22" s="174"/>
    </row>
    <row r="23" spans="1:37" s="95" customFormat="1" x14ac:dyDescent="0.3">
      <c r="A23" s="171" t="s">
        <v>263</v>
      </c>
      <c r="B23" s="175" t="s">
        <v>300</v>
      </c>
      <c r="C23" s="175"/>
      <c r="D23" s="176"/>
      <c r="E23" s="176"/>
      <c r="F23" s="176"/>
      <c r="G23" s="176"/>
      <c r="H23" s="176"/>
      <c r="I23" s="176"/>
      <c r="J23" s="176"/>
      <c r="K23" s="176"/>
      <c r="L23" s="176"/>
      <c r="M23" s="176"/>
      <c r="N23" s="176"/>
      <c r="O23" s="176"/>
      <c r="P23" s="176"/>
      <c r="Q23" s="176"/>
      <c r="R23" s="176"/>
      <c r="S23" s="176"/>
      <c r="T23" s="176"/>
      <c r="U23" s="176"/>
      <c r="V23" s="176"/>
      <c r="W23" s="176"/>
      <c r="X23" s="182"/>
      <c r="Y23" s="182"/>
      <c r="Z23" s="182"/>
      <c r="AA23" s="182"/>
      <c r="AB23" s="182"/>
      <c r="AC23" s="182"/>
      <c r="AD23" s="176"/>
      <c r="AE23" s="176"/>
      <c r="AF23" s="176"/>
      <c r="AG23" s="185"/>
      <c r="AH23" s="185"/>
      <c r="AI23" s="185"/>
      <c r="AJ23" s="177"/>
      <c r="AK23" s="81"/>
    </row>
    <row r="24" spans="1:37" s="81" customFormat="1" x14ac:dyDescent="0.3">
      <c r="A24" s="170" t="s">
        <v>264</v>
      </c>
      <c r="B24" s="172" t="s">
        <v>301</v>
      </c>
      <c r="C24" s="172"/>
      <c r="D24" s="173"/>
      <c r="E24" s="173"/>
      <c r="F24" s="173"/>
      <c r="G24" s="173"/>
      <c r="H24" s="173"/>
      <c r="I24" s="173"/>
      <c r="J24" s="173"/>
      <c r="K24" s="173"/>
      <c r="L24" s="173"/>
      <c r="M24" s="173"/>
      <c r="N24" s="173"/>
      <c r="O24" s="173"/>
      <c r="P24" s="173"/>
      <c r="Q24" s="173"/>
      <c r="R24" s="173"/>
      <c r="S24" s="173"/>
      <c r="T24" s="173"/>
      <c r="U24" s="173"/>
      <c r="V24" s="173"/>
      <c r="W24" s="173"/>
      <c r="X24" s="181"/>
      <c r="Y24" s="181"/>
      <c r="Z24" s="181"/>
      <c r="AA24" s="181"/>
      <c r="AB24" s="181"/>
      <c r="AC24" s="181"/>
      <c r="AD24" s="173"/>
      <c r="AE24" s="173"/>
      <c r="AF24" s="173"/>
      <c r="AG24" s="184"/>
      <c r="AH24" s="184"/>
      <c r="AI24" s="184"/>
      <c r="AJ24" s="174"/>
    </row>
    <row r="25" spans="1:37" s="95" customFormat="1" x14ac:dyDescent="0.3">
      <c r="A25" s="171" t="s">
        <v>265</v>
      </c>
      <c r="B25" s="175" t="s">
        <v>302</v>
      </c>
      <c r="C25" s="175"/>
      <c r="D25" s="176"/>
      <c r="E25" s="176"/>
      <c r="F25" s="176"/>
      <c r="G25" s="176"/>
      <c r="H25" s="176"/>
      <c r="I25" s="176"/>
      <c r="J25" s="176"/>
      <c r="K25" s="176"/>
      <c r="L25" s="176"/>
      <c r="M25" s="176"/>
      <c r="N25" s="176"/>
      <c r="O25" s="176"/>
      <c r="P25" s="176"/>
      <c r="Q25" s="176"/>
      <c r="R25" s="176"/>
      <c r="S25" s="176"/>
      <c r="T25" s="176"/>
      <c r="U25" s="176"/>
      <c r="V25" s="176"/>
      <c r="W25" s="176"/>
      <c r="X25" s="182"/>
      <c r="Y25" s="182"/>
      <c r="Z25" s="182"/>
      <c r="AA25" s="182"/>
      <c r="AB25" s="182"/>
      <c r="AC25" s="182"/>
      <c r="AD25" s="176"/>
      <c r="AE25" s="176"/>
      <c r="AF25" s="176"/>
      <c r="AG25" s="185"/>
      <c r="AH25" s="185"/>
      <c r="AI25" s="185"/>
      <c r="AJ25" s="177"/>
      <c r="AK25" s="81"/>
    </row>
    <row r="26" spans="1:37" s="81" customFormat="1" x14ac:dyDescent="0.3">
      <c r="A26" s="170" t="s">
        <v>266</v>
      </c>
      <c r="B26" s="172" t="s">
        <v>303</v>
      </c>
      <c r="C26" s="172"/>
      <c r="D26" s="173"/>
      <c r="E26" s="173"/>
      <c r="F26" s="173"/>
      <c r="G26" s="173"/>
      <c r="H26" s="173"/>
      <c r="I26" s="173"/>
      <c r="J26" s="173"/>
      <c r="K26" s="173"/>
      <c r="L26" s="173"/>
      <c r="M26" s="173"/>
      <c r="N26" s="173"/>
      <c r="O26" s="173"/>
      <c r="P26" s="173"/>
      <c r="Q26" s="173"/>
      <c r="R26" s="173"/>
      <c r="S26" s="173"/>
      <c r="T26" s="173"/>
      <c r="U26" s="173"/>
      <c r="V26" s="173"/>
      <c r="W26" s="173"/>
      <c r="X26" s="181"/>
      <c r="Y26" s="181"/>
      <c r="Z26" s="181"/>
      <c r="AA26" s="181"/>
      <c r="AB26" s="181"/>
      <c r="AC26" s="181"/>
      <c r="AD26" s="173"/>
      <c r="AE26" s="173"/>
      <c r="AF26" s="173"/>
      <c r="AG26" s="184"/>
      <c r="AH26" s="184"/>
      <c r="AI26" s="184"/>
      <c r="AJ26" s="174"/>
    </row>
    <row r="27" spans="1:37" s="95" customFormat="1" x14ac:dyDescent="0.3">
      <c r="A27" s="171" t="s">
        <v>267</v>
      </c>
      <c r="B27" s="175" t="s">
        <v>304</v>
      </c>
      <c r="C27" s="175"/>
      <c r="D27" s="176"/>
      <c r="E27" s="176"/>
      <c r="F27" s="176"/>
      <c r="G27" s="176"/>
      <c r="H27" s="176"/>
      <c r="I27" s="176"/>
      <c r="J27" s="176"/>
      <c r="K27" s="176"/>
      <c r="L27" s="176"/>
      <c r="M27" s="176"/>
      <c r="N27" s="176"/>
      <c r="O27" s="176"/>
      <c r="P27" s="176"/>
      <c r="Q27" s="176"/>
      <c r="R27" s="176"/>
      <c r="S27" s="176"/>
      <c r="T27" s="176"/>
      <c r="U27" s="176"/>
      <c r="V27" s="176"/>
      <c r="W27" s="176"/>
      <c r="X27" s="182"/>
      <c r="Y27" s="182"/>
      <c r="Z27" s="182"/>
      <c r="AA27" s="182"/>
      <c r="AB27" s="182"/>
      <c r="AC27" s="182"/>
      <c r="AD27" s="176"/>
      <c r="AE27" s="176"/>
      <c r="AF27" s="176"/>
      <c r="AG27" s="185"/>
      <c r="AH27" s="185"/>
      <c r="AI27" s="185"/>
      <c r="AJ27" s="177"/>
      <c r="AK27" s="81"/>
    </row>
    <row r="28" spans="1:37" s="81" customFormat="1" x14ac:dyDescent="0.3">
      <c r="A28" s="170" t="s">
        <v>268</v>
      </c>
      <c r="B28" s="172" t="s">
        <v>305</v>
      </c>
      <c r="C28" s="172"/>
      <c r="D28" s="173"/>
      <c r="E28" s="173"/>
      <c r="F28" s="173"/>
      <c r="G28" s="173"/>
      <c r="H28" s="173"/>
      <c r="I28" s="173"/>
      <c r="J28" s="173"/>
      <c r="K28" s="173"/>
      <c r="L28" s="173"/>
      <c r="M28" s="173"/>
      <c r="N28" s="173"/>
      <c r="O28" s="173"/>
      <c r="P28" s="173"/>
      <c r="Q28" s="173"/>
      <c r="R28" s="173"/>
      <c r="S28" s="173"/>
      <c r="T28" s="173"/>
      <c r="U28" s="173"/>
      <c r="V28" s="173"/>
      <c r="W28" s="173"/>
      <c r="X28" s="181"/>
      <c r="Y28" s="181"/>
      <c r="Z28" s="181"/>
      <c r="AA28" s="181"/>
      <c r="AB28" s="181"/>
      <c r="AC28" s="181"/>
      <c r="AD28" s="173"/>
      <c r="AE28" s="173"/>
      <c r="AF28" s="173"/>
      <c r="AG28" s="184"/>
      <c r="AH28" s="184"/>
      <c r="AI28" s="184"/>
      <c r="AJ28" s="174"/>
    </row>
    <row r="29" spans="1:37" s="95" customFormat="1" x14ac:dyDescent="0.3">
      <c r="A29" s="171" t="s">
        <v>269</v>
      </c>
      <c r="B29" s="175" t="s">
        <v>306</v>
      </c>
      <c r="C29" s="175"/>
      <c r="D29" s="176"/>
      <c r="E29" s="176"/>
      <c r="F29" s="176"/>
      <c r="G29" s="176"/>
      <c r="H29" s="176"/>
      <c r="I29" s="176"/>
      <c r="J29" s="176"/>
      <c r="K29" s="176"/>
      <c r="L29" s="176"/>
      <c r="M29" s="176"/>
      <c r="N29" s="176"/>
      <c r="O29" s="176"/>
      <c r="P29" s="176"/>
      <c r="Q29" s="176"/>
      <c r="R29" s="176"/>
      <c r="S29" s="176"/>
      <c r="T29" s="176"/>
      <c r="U29" s="176"/>
      <c r="V29" s="176"/>
      <c r="W29" s="176"/>
      <c r="X29" s="182"/>
      <c r="Y29" s="182"/>
      <c r="Z29" s="182"/>
      <c r="AA29" s="182"/>
      <c r="AB29" s="182"/>
      <c r="AC29" s="182"/>
      <c r="AD29" s="176"/>
      <c r="AE29" s="176"/>
      <c r="AF29" s="176"/>
      <c r="AG29" s="185"/>
      <c r="AH29" s="185"/>
      <c r="AI29" s="185"/>
      <c r="AJ29" s="177"/>
      <c r="AK29" s="81"/>
    </row>
    <row r="30" spans="1:37" s="81" customFormat="1" x14ac:dyDescent="0.3">
      <c r="A30" s="170" t="s">
        <v>270</v>
      </c>
      <c r="B30" s="172" t="s">
        <v>307</v>
      </c>
      <c r="C30" s="172"/>
      <c r="D30" s="173"/>
      <c r="E30" s="173"/>
      <c r="F30" s="173"/>
      <c r="G30" s="173"/>
      <c r="H30" s="173"/>
      <c r="I30" s="173"/>
      <c r="J30" s="173"/>
      <c r="K30" s="173"/>
      <c r="L30" s="173"/>
      <c r="M30" s="173"/>
      <c r="N30" s="173"/>
      <c r="O30" s="173"/>
      <c r="P30" s="173"/>
      <c r="Q30" s="173"/>
      <c r="R30" s="173"/>
      <c r="S30" s="173"/>
      <c r="T30" s="173"/>
      <c r="U30" s="173"/>
      <c r="V30" s="173"/>
      <c r="W30" s="173"/>
      <c r="X30" s="181"/>
      <c r="Y30" s="181"/>
      <c r="Z30" s="181"/>
      <c r="AA30" s="181"/>
      <c r="AB30" s="181"/>
      <c r="AC30" s="181"/>
      <c r="AD30" s="173"/>
      <c r="AE30" s="173"/>
      <c r="AF30" s="173"/>
      <c r="AG30" s="184"/>
      <c r="AH30" s="184"/>
      <c r="AI30" s="184"/>
      <c r="AJ30" s="174"/>
    </row>
    <row r="31" spans="1:37" s="95" customFormat="1" x14ac:dyDescent="0.3">
      <c r="A31" s="171" t="s">
        <v>271</v>
      </c>
      <c r="B31" s="175" t="s">
        <v>308</v>
      </c>
      <c r="C31" s="175"/>
      <c r="D31" s="176"/>
      <c r="E31" s="176"/>
      <c r="F31" s="176"/>
      <c r="G31" s="176"/>
      <c r="H31" s="176"/>
      <c r="I31" s="176"/>
      <c r="J31" s="176"/>
      <c r="K31" s="176"/>
      <c r="L31" s="176"/>
      <c r="M31" s="176"/>
      <c r="N31" s="176"/>
      <c r="O31" s="176"/>
      <c r="P31" s="176"/>
      <c r="Q31" s="176"/>
      <c r="R31" s="176"/>
      <c r="S31" s="176"/>
      <c r="T31" s="176"/>
      <c r="U31" s="176"/>
      <c r="V31" s="176"/>
      <c r="W31" s="176"/>
      <c r="X31" s="182"/>
      <c r="Y31" s="182"/>
      <c r="Z31" s="182"/>
      <c r="AA31" s="182"/>
      <c r="AB31" s="182"/>
      <c r="AC31" s="182"/>
      <c r="AD31" s="176"/>
      <c r="AE31" s="176"/>
      <c r="AF31" s="176"/>
      <c r="AG31" s="185"/>
      <c r="AH31" s="185"/>
      <c r="AI31" s="185"/>
      <c r="AJ31" s="177"/>
      <c r="AK31" s="81"/>
    </row>
    <row r="32" spans="1:37" s="81" customFormat="1" x14ac:dyDescent="0.3">
      <c r="A32" s="170" t="s">
        <v>272</v>
      </c>
      <c r="B32" s="172" t="s">
        <v>309</v>
      </c>
      <c r="C32" s="172"/>
      <c r="D32" s="173"/>
      <c r="E32" s="173"/>
      <c r="F32" s="173"/>
      <c r="G32" s="173"/>
      <c r="H32" s="173"/>
      <c r="I32" s="173"/>
      <c r="J32" s="173"/>
      <c r="K32" s="173"/>
      <c r="L32" s="173"/>
      <c r="M32" s="173"/>
      <c r="N32" s="173"/>
      <c r="O32" s="173"/>
      <c r="P32" s="173"/>
      <c r="Q32" s="173"/>
      <c r="R32" s="173"/>
      <c r="S32" s="173"/>
      <c r="T32" s="173"/>
      <c r="U32" s="173"/>
      <c r="V32" s="173"/>
      <c r="W32" s="173"/>
      <c r="X32" s="181"/>
      <c r="Y32" s="181"/>
      <c r="Z32" s="181"/>
      <c r="AA32" s="181"/>
      <c r="AB32" s="181"/>
      <c r="AC32" s="181"/>
      <c r="AD32" s="173"/>
      <c r="AE32" s="173"/>
      <c r="AF32" s="173"/>
      <c r="AG32" s="184"/>
      <c r="AH32" s="184"/>
      <c r="AI32" s="184"/>
      <c r="AJ32" s="174"/>
    </row>
    <row r="33" spans="1:37" s="95" customFormat="1" x14ac:dyDescent="0.3">
      <c r="A33" s="171" t="s">
        <v>273</v>
      </c>
      <c r="B33" s="175" t="s">
        <v>310</v>
      </c>
      <c r="C33" s="175"/>
      <c r="D33" s="176"/>
      <c r="E33" s="176"/>
      <c r="F33" s="176"/>
      <c r="G33" s="176"/>
      <c r="H33" s="176"/>
      <c r="I33" s="176"/>
      <c r="J33" s="176"/>
      <c r="K33" s="176"/>
      <c r="L33" s="176"/>
      <c r="M33" s="176"/>
      <c r="N33" s="176"/>
      <c r="O33" s="176"/>
      <c r="P33" s="176"/>
      <c r="Q33" s="176"/>
      <c r="R33" s="176"/>
      <c r="S33" s="176"/>
      <c r="T33" s="176"/>
      <c r="U33" s="176"/>
      <c r="V33" s="176"/>
      <c r="W33" s="176"/>
      <c r="X33" s="182"/>
      <c r="Y33" s="182"/>
      <c r="Z33" s="182"/>
      <c r="AA33" s="182"/>
      <c r="AB33" s="182"/>
      <c r="AC33" s="182"/>
      <c r="AD33" s="176"/>
      <c r="AE33" s="176"/>
      <c r="AF33" s="176"/>
      <c r="AG33" s="185"/>
      <c r="AH33" s="185"/>
      <c r="AI33" s="185"/>
      <c r="AJ33" s="177"/>
      <c r="AK33" s="81"/>
    </row>
    <row r="34" spans="1:37" s="81" customFormat="1" x14ac:dyDescent="0.3">
      <c r="A34" s="170" t="s">
        <v>274</v>
      </c>
      <c r="B34" s="172" t="s">
        <v>311</v>
      </c>
      <c r="C34" s="172"/>
      <c r="D34" s="173"/>
      <c r="E34" s="173"/>
      <c r="F34" s="173"/>
      <c r="G34" s="173"/>
      <c r="H34" s="173"/>
      <c r="I34" s="173"/>
      <c r="J34" s="173"/>
      <c r="K34" s="173"/>
      <c r="L34" s="173"/>
      <c r="M34" s="173"/>
      <c r="N34" s="173"/>
      <c r="O34" s="173"/>
      <c r="P34" s="173"/>
      <c r="Q34" s="173"/>
      <c r="R34" s="173"/>
      <c r="S34" s="173"/>
      <c r="T34" s="173"/>
      <c r="U34" s="173"/>
      <c r="V34" s="173"/>
      <c r="W34" s="173"/>
      <c r="X34" s="181"/>
      <c r="Y34" s="181"/>
      <c r="Z34" s="181"/>
      <c r="AA34" s="181"/>
      <c r="AB34" s="181"/>
      <c r="AC34" s="181"/>
      <c r="AD34" s="173"/>
      <c r="AE34" s="173"/>
      <c r="AF34" s="173"/>
      <c r="AG34" s="184"/>
      <c r="AH34" s="184"/>
      <c r="AI34" s="184"/>
      <c r="AJ34" s="174"/>
    </row>
    <row r="35" spans="1:37" s="95" customFormat="1" x14ac:dyDescent="0.3">
      <c r="A35" s="171" t="s">
        <v>275</v>
      </c>
      <c r="B35" s="175" t="s">
        <v>312</v>
      </c>
      <c r="C35" s="175"/>
      <c r="D35" s="176"/>
      <c r="E35" s="176"/>
      <c r="F35" s="176"/>
      <c r="G35" s="176"/>
      <c r="H35" s="176"/>
      <c r="I35" s="176"/>
      <c r="J35" s="176"/>
      <c r="K35" s="176"/>
      <c r="L35" s="176"/>
      <c r="M35" s="176"/>
      <c r="N35" s="176"/>
      <c r="O35" s="176"/>
      <c r="P35" s="176"/>
      <c r="Q35" s="176"/>
      <c r="R35" s="176"/>
      <c r="S35" s="176"/>
      <c r="T35" s="176"/>
      <c r="U35" s="176"/>
      <c r="V35" s="176"/>
      <c r="W35" s="176"/>
      <c r="X35" s="182"/>
      <c r="Y35" s="182"/>
      <c r="Z35" s="182"/>
      <c r="AA35" s="182"/>
      <c r="AB35" s="182"/>
      <c r="AC35" s="182"/>
      <c r="AD35" s="176"/>
      <c r="AE35" s="176"/>
      <c r="AF35" s="176"/>
      <c r="AG35" s="185"/>
      <c r="AH35" s="185"/>
      <c r="AI35" s="185"/>
      <c r="AJ35" s="177"/>
      <c r="AK35" s="81"/>
    </row>
    <row r="36" spans="1:37" s="81" customFormat="1" x14ac:dyDescent="0.3">
      <c r="A36" s="170" t="s">
        <v>276</v>
      </c>
      <c r="B36" s="172" t="s">
        <v>313</v>
      </c>
      <c r="C36" s="172"/>
      <c r="D36" s="173"/>
      <c r="E36" s="173"/>
      <c r="F36" s="173"/>
      <c r="G36" s="173"/>
      <c r="H36" s="173"/>
      <c r="I36" s="173"/>
      <c r="J36" s="173"/>
      <c r="K36" s="173"/>
      <c r="L36" s="173"/>
      <c r="M36" s="173"/>
      <c r="N36" s="173"/>
      <c r="O36" s="173"/>
      <c r="P36" s="173"/>
      <c r="Q36" s="173"/>
      <c r="R36" s="173"/>
      <c r="S36" s="173"/>
      <c r="T36" s="173"/>
      <c r="U36" s="173"/>
      <c r="V36" s="173"/>
      <c r="W36" s="173"/>
      <c r="X36" s="181"/>
      <c r="Y36" s="181"/>
      <c r="Z36" s="181"/>
      <c r="AA36" s="181"/>
      <c r="AB36" s="181"/>
      <c r="AC36" s="181"/>
      <c r="AD36" s="173"/>
      <c r="AE36" s="173"/>
      <c r="AF36" s="173"/>
      <c r="AG36" s="184"/>
      <c r="AH36" s="184"/>
      <c r="AI36" s="184"/>
      <c r="AJ36" s="174"/>
    </row>
    <row r="37" spans="1:37" s="95" customFormat="1" x14ac:dyDescent="0.3">
      <c r="A37" s="171" t="s">
        <v>277</v>
      </c>
      <c r="B37" s="175" t="s">
        <v>314</v>
      </c>
      <c r="C37" s="175"/>
      <c r="D37" s="176"/>
      <c r="E37" s="176"/>
      <c r="F37" s="176"/>
      <c r="G37" s="176"/>
      <c r="H37" s="176"/>
      <c r="I37" s="176"/>
      <c r="J37" s="176"/>
      <c r="K37" s="176"/>
      <c r="L37" s="176"/>
      <c r="M37" s="176"/>
      <c r="N37" s="176"/>
      <c r="O37" s="176"/>
      <c r="P37" s="176"/>
      <c r="Q37" s="176"/>
      <c r="R37" s="176"/>
      <c r="S37" s="176"/>
      <c r="T37" s="176"/>
      <c r="U37" s="176"/>
      <c r="V37" s="176"/>
      <c r="W37" s="176"/>
      <c r="X37" s="182"/>
      <c r="Y37" s="182"/>
      <c r="Z37" s="182"/>
      <c r="AA37" s="182"/>
      <c r="AB37" s="182"/>
      <c r="AC37" s="182"/>
      <c r="AD37" s="176"/>
      <c r="AE37" s="176"/>
      <c r="AF37" s="176"/>
      <c r="AG37" s="185"/>
      <c r="AH37" s="185"/>
      <c r="AI37" s="185"/>
      <c r="AJ37" s="177"/>
      <c r="AK37" s="81"/>
    </row>
    <row r="38" spans="1:37" s="81" customFormat="1" x14ac:dyDescent="0.3">
      <c r="A38" s="170" t="s">
        <v>278</v>
      </c>
      <c r="B38" s="172" t="s">
        <v>315</v>
      </c>
      <c r="C38" s="172"/>
      <c r="D38" s="173"/>
      <c r="E38" s="173"/>
      <c r="F38" s="173"/>
      <c r="G38" s="173"/>
      <c r="H38" s="173"/>
      <c r="I38" s="173"/>
      <c r="J38" s="173"/>
      <c r="K38" s="173"/>
      <c r="L38" s="173"/>
      <c r="M38" s="173"/>
      <c r="N38" s="173"/>
      <c r="O38" s="173"/>
      <c r="P38" s="173"/>
      <c r="Q38" s="173"/>
      <c r="R38" s="173"/>
      <c r="S38" s="173"/>
      <c r="T38" s="173"/>
      <c r="U38" s="173"/>
      <c r="V38" s="173"/>
      <c r="W38" s="173"/>
      <c r="X38" s="181"/>
      <c r="Y38" s="181"/>
      <c r="Z38" s="181"/>
      <c r="AA38" s="181"/>
      <c r="AB38" s="181"/>
      <c r="AC38" s="181"/>
      <c r="AD38" s="173"/>
      <c r="AE38" s="173"/>
      <c r="AF38" s="173"/>
      <c r="AG38" s="184"/>
      <c r="AH38" s="184"/>
      <c r="AI38" s="184"/>
      <c r="AJ38" s="174"/>
    </row>
    <row r="39" spans="1:37" s="95" customFormat="1" x14ac:dyDescent="0.3">
      <c r="A39" s="171" t="s">
        <v>279</v>
      </c>
      <c r="B39" s="175" t="s">
        <v>316</v>
      </c>
      <c r="C39" s="175"/>
      <c r="D39" s="176"/>
      <c r="E39" s="176"/>
      <c r="F39" s="176"/>
      <c r="G39" s="176"/>
      <c r="H39" s="176"/>
      <c r="I39" s="176"/>
      <c r="J39" s="176"/>
      <c r="K39" s="176"/>
      <c r="L39" s="176"/>
      <c r="M39" s="176"/>
      <c r="N39" s="176"/>
      <c r="O39" s="176"/>
      <c r="P39" s="176"/>
      <c r="Q39" s="176"/>
      <c r="R39" s="176"/>
      <c r="S39" s="176"/>
      <c r="T39" s="176"/>
      <c r="U39" s="176"/>
      <c r="V39" s="176"/>
      <c r="W39" s="176"/>
      <c r="X39" s="182"/>
      <c r="Y39" s="182"/>
      <c r="Z39" s="182"/>
      <c r="AA39" s="182"/>
      <c r="AB39" s="182"/>
      <c r="AC39" s="182"/>
      <c r="AD39" s="176"/>
      <c r="AE39" s="176"/>
      <c r="AF39" s="176"/>
      <c r="AG39" s="185"/>
      <c r="AH39" s="185"/>
      <c r="AI39" s="185"/>
      <c r="AJ39" s="177"/>
      <c r="AK39" s="81"/>
    </row>
    <row r="40" spans="1:37" s="81" customFormat="1" x14ac:dyDescent="0.3">
      <c r="A40" s="170" t="s">
        <v>280</v>
      </c>
      <c r="B40" s="172" t="s">
        <v>317</v>
      </c>
      <c r="C40" s="172"/>
      <c r="D40" s="173"/>
      <c r="E40" s="173"/>
      <c r="F40" s="173"/>
      <c r="G40" s="173"/>
      <c r="H40" s="173"/>
      <c r="I40" s="173"/>
      <c r="J40" s="173"/>
      <c r="K40" s="173"/>
      <c r="L40" s="173"/>
      <c r="M40" s="173"/>
      <c r="N40" s="173"/>
      <c r="O40" s="173"/>
      <c r="P40" s="173"/>
      <c r="Q40" s="173"/>
      <c r="R40" s="173"/>
      <c r="S40" s="173"/>
      <c r="T40" s="173"/>
      <c r="U40" s="173"/>
      <c r="V40" s="173"/>
      <c r="W40" s="173"/>
      <c r="X40" s="181"/>
      <c r="Y40" s="181"/>
      <c r="Z40" s="181"/>
      <c r="AA40" s="181"/>
      <c r="AB40" s="181"/>
      <c r="AC40" s="181"/>
      <c r="AD40" s="173"/>
      <c r="AE40" s="173"/>
      <c r="AF40" s="173"/>
      <c r="AG40" s="184"/>
      <c r="AH40" s="184"/>
      <c r="AI40" s="184"/>
      <c r="AJ40" s="174"/>
    </row>
    <row r="41" spans="1:37" s="95" customFormat="1" x14ac:dyDescent="0.3">
      <c r="A41" s="171" t="s">
        <v>281</v>
      </c>
      <c r="B41" s="175" t="s">
        <v>318</v>
      </c>
      <c r="C41" s="175"/>
      <c r="D41" s="176"/>
      <c r="E41" s="176"/>
      <c r="F41" s="176"/>
      <c r="G41" s="176"/>
      <c r="H41" s="176"/>
      <c r="I41" s="176"/>
      <c r="J41" s="176"/>
      <c r="K41" s="176"/>
      <c r="L41" s="176"/>
      <c r="M41" s="176"/>
      <c r="N41" s="176"/>
      <c r="O41" s="176"/>
      <c r="P41" s="176"/>
      <c r="Q41" s="176"/>
      <c r="R41" s="176"/>
      <c r="S41" s="176"/>
      <c r="T41" s="176"/>
      <c r="U41" s="176"/>
      <c r="V41" s="176"/>
      <c r="W41" s="176"/>
      <c r="X41" s="182"/>
      <c r="Y41" s="182"/>
      <c r="Z41" s="182"/>
      <c r="AA41" s="182"/>
      <c r="AB41" s="182"/>
      <c r="AC41" s="182"/>
      <c r="AD41" s="176"/>
      <c r="AE41" s="176"/>
      <c r="AF41" s="176"/>
      <c r="AG41" s="185"/>
      <c r="AH41" s="185"/>
      <c r="AI41" s="185"/>
      <c r="AJ41" s="177"/>
      <c r="AK41" s="81"/>
    </row>
    <row r="42" spans="1:37" s="81" customFormat="1" x14ac:dyDescent="0.3">
      <c r="A42" s="170" t="s">
        <v>282</v>
      </c>
      <c r="B42" s="172" t="s">
        <v>319</v>
      </c>
      <c r="C42" s="172"/>
      <c r="D42" s="173"/>
      <c r="E42" s="173"/>
      <c r="F42" s="173"/>
      <c r="G42" s="173"/>
      <c r="H42" s="173"/>
      <c r="I42" s="173"/>
      <c r="J42" s="173"/>
      <c r="K42" s="173"/>
      <c r="L42" s="173"/>
      <c r="M42" s="173"/>
      <c r="N42" s="173"/>
      <c r="O42" s="173"/>
      <c r="P42" s="173"/>
      <c r="Q42" s="173"/>
      <c r="R42" s="173"/>
      <c r="S42" s="173"/>
      <c r="T42" s="173"/>
      <c r="U42" s="173"/>
      <c r="V42" s="173"/>
      <c r="W42" s="173"/>
      <c r="X42" s="181"/>
      <c r="Y42" s="181"/>
      <c r="Z42" s="181"/>
      <c r="AA42" s="181"/>
      <c r="AB42" s="181"/>
      <c r="AC42" s="181"/>
      <c r="AD42" s="173"/>
      <c r="AE42" s="173"/>
      <c r="AF42" s="173"/>
      <c r="AG42" s="184"/>
      <c r="AH42" s="184"/>
      <c r="AI42" s="184"/>
      <c r="AJ42" s="174"/>
    </row>
    <row r="43" spans="1:37" s="95" customFormat="1" x14ac:dyDescent="0.3">
      <c r="A43" s="171" t="s">
        <v>283</v>
      </c>
      <c r="B43" s="175" t="s">
        <v>320</v>
      </c>
      <c r="C43" s="175"/>
      <c r="D43" s="176"/>
      <c r="E43" s="176"/>
      <c r="F43" s="176"/>
      <c r="G43" s="176"/>
      <c r="H43" s="176"/>
      <c r="I43" s="176"/>
      <c r="J43" s="176"/>
      <c r="K43" s="176"/>
      <c r="L43" s="176"/>
      <c r="M43" s="176"/>
      <c r="N43" s="176"/>
      <c r="O43" s="176"/>
      <c r="P43" s="176"/>
      <c r="Q43" s="176"/>
      <c r="R43" s="176"/>
      <c r="S43" s="176"/>
      <c r="T43" s="176"/>
      <c r="U43" s="176"/>
      <c r="V43" s="176"/>
      <c r="W43" s="176"/>
      <c r="X43" s="182"/>
      <c r="Y43" s="182"/>
      <c r="Z43" s="182"/>
      <c r="AA43" s="182"/>
      <c r="AB43" s="182"/>
      <c r="AC43" s="182"/>
      <c r="AD43" s="176"/>
      <c r="AE43" s="176"/>
      <c r="AF43" s="176"/>
      <c r="AG43" s="185"/>
      <c r="AH43" s="185"/>
      <c r="AI43" s="185"/>
      <c r="AJ43" s="177"/>
      <c r="AK43" s="81"/>
    </row>
    <row r="44" spans="1:37" s="81" customFormat="1" x14ac:dyDescent="0.3">
      <c r="A44" s="170" t="s">
        <v>284</v>
      </c>
      <c r="B44" s="172" t="s">
        <v>321</v>
      </c>
      <c r="C44" s="172"/>
      <c r="D44" s="173"/>
      <c r="E44" s="173"/>
      <c r="F44" s="173"/>
      <c r="G44" s="173"/>
      <c r="H44" s="173"/>
      <c r="I44" s="173"/>
      <c r="J44" s="173"/>
      <c r="K44" s="173"/>
      <c r="L44" s="173"/>
      <c r="M44" s="173"/>
      <c r="N44" s="173"/>
      <c r="O44" s="173"/>
      <c r="P44" s="173"/>
      <c r="Q44" s="173"/>
      <c r="R44" s="173"/>
      <c r="S44" s="173"/>
      <c r="T44" s="173"/>
      <c r="U44" s="173"/>
      <c r="V44" s="173"/>
      <c r="W44" s="173"/>
      <c r="X44" s="181"/>
      <c r="Y44" s="181"/>
      <c r="Z44" s="181"/>
      <c r="AA44" s="181"/>
      <c r="AB44" s="181"/>
      <c r="AC44" s="181"/>
      <c r="AD44" s="173"/>
      <c r="AE44" s="173"/>
      <c r="AF44" s="173"/>
      <c r="AG44" s="184"/>
      <c r="AH44" s="184"/>
      <c r="AI44" s="184"/>
      <c r="AJ44" s="174"/>
    </row>
    <row r="45" spans="1:37" s="95" customFormat="1" x14ac:dyDescent="0.3">
      <c r="A45" s="171" t="s">
        <v>285</v>
      </c>
      <c r="B45" s="175" t="s">
        <v>322</v>
      </c>
      <c r="C45" s="178"/>
      <c r="D45" s="179"/>
      <c r="E45" s="179"/>
      <c r="F45" s="179"/>
      <c r="G45" s="179"/>
      <c r="H45" s="179"/>
      <c r="I45" s="179"/>
      <c r="J45" s="179"/>
      <c r="K45" s="179"/>
      <c r="L45" s="179"/>
      <c r="M45" s="179"/>
      <c r="N45" s="179"/>
      <c r="O45" s="179"/>
      <c r="P45" s="179"/>
      <c r="Q45" s="179"/>
      <c r="R45" s="179"/>
      <c r="S45" s="179"/>
      <c r="T45" s="179"/>
      <c r="U45" s="179"/>
      <c r="V45" s="179"/>
      <c r="W45" s="179"/>
      <c r="X45" s="183"/>
      <c r="Y45" s="183"/>
      <c r="Z45" s="183"/>
      <c r="AA45" s="183"/>
      <c r="AB45" s="183"/>
      <c r="AC45" s="183"/>
      <c r="AD45" s="179"/>
      <c r="AE45" s="179"/>
      <c r="AF45" s="179"/>
      <c r="AG45" s="186"/>
      <c r="AH45" s="186"/>
      <c r="AI45" s="186"/>
      <c r="AJ45" s="180"/>
      <c r="AK45" s="81"/>
    </row>
    <row r="46" spans="1:37" s="81" customFormat="1" x14ac:dyDescent="0.3">
      <c r="A46" s="170" t="s">
        <v>323</v>
      </c>
      <c r="B46" s="138" t="s">
        <v>324</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 ref="E1:V1"/>
    <mergeCell ref="S4:S5"/>
    <mergeCell ref="T4:T5"/>
    <mergeCell ref="U4:U5"/>
    <mergeCell ref="X4:Z4"/>
  </mergeCells>
  <phoneticPr fontId="58" type="noConversion"/>
  <conditionalFormatting sqref="A6:AJ45">
    <cfRule type="expression" dxfId="214" priority="2">
      <formula>MOD(ROW(),2)=0</formula>
    </cfRule>
    <cfRule type="expression" dxfId="213" priority="27">
      <formula>MOD(ROW(),2)=1</formula>
    </cfRule>
  </conditionalFormatting>
  <dataValidations xWindow="1223" yWindow="445"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Please select from the list" sqref="V6:V45" xr:uid="{00000000-0002-0000-0100-000004000000}">
      <formula1>LIST_CNon</formula1>
    </dataValidation>
    <dataValidation type="list" allowBlank="1" showInputMessage="1" showErrorMessage="1" sqref="W6:W45" xr:uid="{00000000-0002-0000-0100-000005000000}">
      <formula1>List_MVol</formula1>
    </dataValidation>
    <dataValidation type="list" allowBlank="1" showErrorMessage="1" prompt="Please select from the dropdown list" sqref="AD6:AD45 AE6:AE8" xr:uid="{00000000-0002-0000-0100-000006000000}">
      <formula1>LIST_PPrv</formula1>
    </dataValidation>
    <dataValidation type="list" allowBlank="1" showErrorMessage="1" prompt="Please select from the dropdown list" sqref="AE9:AE45" xr:uid="{00000000-0002-0000-0100-000007000000}">
      <formula1>LIST_LSta</formula1>
    </dataValidation>
    <dataValidation type="list" allowBlank="1" showErrorMessage="1" prompt="Please select from the dropdown list" sqref="AF6:AF45" xr:uid="{00000000-0002-0000-0100-000008000000}">
      <formula1>LIST_TPro</formula1>
    </dataValidation>
    <dataValidation type="list" allowBlank="1" showInputMessage="1" showErrorMessage="1" prompt="Please select from the list" sqref="E6:U45" xr:uid="{00000000-0002-0000-0100-000009000000}">
      <formula1>LIST_X</formula1>
    </dataValidation>
    <dataValidation type="list" allowBlank="1" showInputMessage="1" showErrorMessage="1" prompt="Sélectionnez l'unité dans la liste déroulante" sqref="AG5:AI5" xr:uid="{00000000-0002-0000-0100-00000A000000}">
      <formula1>LIST_Cuni</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s>
  <pageMargins left="0.25" right="0.25" top="0.75" bottom="0.75" header="0.3" footer="0.3"/>
  <pageSetup paperSize="8" scale="55" fitToHeight="0" orientation="landscape" r:id="rId4"/>
  <drawing r:id="rId5"/>
  <extLst>
    <ext xmlns:x14="http://schemas.microsoft.com/office/spreadsheetml/2009/9/main" uri="{78C0D931-6437-407d-A8EE-F0AAD7539E65}">
      <x14:conditionalFormattings>
        <x14:conditionalFormatting xmlns:xm="http://schemas.microsoft.com/office/excel/2006/main">
          <x14:cfRule type="expression" priority="1" id="{B02D565D-F825-4CF2-AC97-E9AF5112121B}">
            <xm:f>$V6=HID_dropdown!$A$3</xm:f>
            <x14:dxf>
              <fill>
                <patternFill>
                  <bgColor theme="1"/>
                </patternFill>
              </fill>
            </x14:dxf>
          </x14:cfRule>
          <xm:sqref>W6:Z47</xm:sqref>
        </x14:conditionalFormatting>
      </x14:conditionalFormattings>
    </ex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K14" sqref="K14"/>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Gratuité de l'EPST</v>
      </c>
      <c r="C1" s="163" t="str">
        <f ca="1">IF(OFFSET('Inventaire des régimes'!C5,(_xlfn.SHEET()-2),0)=0,"Name of Scheme in English", OFFSET('Inventaire des régimes'!C5,(_xlfn.SHEET()-2),0))</f>
        <v>Gratuité de l'EPST</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55.2" x14ac:dyDescent="0.3">
      <c r="A5" s="96" t="s">
        <v>353</v>
      </c>
      <c r="B5" s="172" t="s">
        <v>527</v>
      </c>
      <c r="C5" s="172" t="s">
        <v>527</v>
      </c>
      <c r="D5" s="189" t="s">
        <v>405</v>
      </c>
      <c r="E5" s="190" t="s">
        <v>415</v>
      </c>
      <c r="F5" s="189" t="s">
        <v>221</v>
      </c>
      <c r="G5" s="188"/>
      <c r="H5" s="188" t="s">
        <v>397</v>
      </c>
      <c r="I5" s="225"/>
      <c r="J5" s="204"/>
      <c r="K5" s="204"/>
      <c r="L5" s="219">
        <v>17941415</v>
      </c>
      <c r="M5" s="206"/>
      <c r="N5" s="206"/>
      <c r="O5" s="191" t="s">
        <v>426</v>
      </c>
      <c r="P5" s="192"/>
      <c r="Q5" s="191"/>
      <c r="R5" s="191"/>
      <c r="S5" s="191"/>
      <c r="T5" s="193"/>
      <c r="U5" s="193" t="s">
        <v>427</v>
      </c>
      <c r="V5" s="193"/>
      <c r="W5" s="194"/>
      <c r="X5" s="194"/>
      <c r="Y5" s="193"/>
      <c r="Z5" s="202"/>
      <c r="AA5" s="188"/>
      <c r="AB5" s="97"/>
    </row>
    <row r="6" spans="1:28" s="63" customFormat="1" x14ac:dyDescent="0.3">
      <c r="A6" s="96" t="s">
        <v>354</v>
      </c>
      <c r="B6" s="195"/>
      <c r="C6" s="195"/>
      <c r="D6" s="197"/>
      <c r="E6" s="190"/>
      <c r="F6" s="189"/>
      <c r="G6" s="188"/>
      <c r="H6" s="188"/>
      <c r="I6" s="225"/>
      <c r="J6" s="207"/>
      <c r="K6" s="207"/>
      <c r="L6" s="227"/>
      <c r="M6" s="208"/>
      <c r="N6" s="208"/>
      <c r="O6" s="191"/>
      <c r="P6" s="192"/>
      <c r="Q6" s="192"/>
      <c r="R6" s="192"/>
      <c r="S6" s="192"/>
      <c r="T6" s="193"/>
      <c r="U6" s="200"/>
      <c r="V6" s="200"/>
      <c r="W6" s="201"/>
      <c r="X6" s="201"/>
      <c r="Y6" s="200"/>
      <c r="Z6" s="202"/>
      <c r="AA6" s="196"/>
      <c r="AB6" s="97"/>
    </row>
    <row r="7" spans="1:28" s="63" customFormat="1" x14ac:dyDescent="0.3">
      <c r="A7" s="96" t="s">
        <v>355</v>
      </c>
      <c r="B7" s="195"/>
      <c r="C7" s="195"/>
      <c r="D7" s="197"/>
      <c r="E7" s="190"/>
      <c r="F7" s="189"/>
      <c r="G7" s="188"/>
      <c r="H7" s="188"/>
      <c r="I7" s="225"/>
      <c r="J7" s="207"/>
      <c r="K7" s="207"/>
      <c r="L7" s="227"/>
      <c r="M7" s="208"/>
      <c r="N7" s="208"/>
      <c r="O7" s="191"/>
      <c r="P7" s="192"/>
      <c r="Q7" s="192"/>
      <c r="R7" s="192"/>
      <c r="S7" s="192"/>
      <c r="T7" s="193"/>
      <c r="U7" s="200"/>
      <c r="V7" s="200"/>
      <c r="W7" s="201"/>
      <c r="X7" s="201"/>
      <c r="Y7" s="200"/>
      <c r="Z7" s="202"/>
      <c r="AA7" s="196"/>
      <c r="AB7" s="97"/>
    </row>
    <row r="8" spans="1:28" s="63" customFormat="1" x14ac:dyDescent="0.3">
      <c r="A8" s="96" t="s">
        <v>356</v>
      </c>
      <c r="B8" s="195"/>
      <c r="C8" s="195"/>
      <c r="D8" s="197"/>
      <c r="E8" s="190"/>
      <c r="F8" s="189"/>
      <c r="G8" s="188"/>
      <c r="H8" s="188"/>
      <c r="I8" s="225"/>
      <c r="J8" s="207"/>
      <c r="K8" s="207"/>
      <c r="L8" s="227"/>
      <c r="M8" s="208"/>
      <c r="N8" s="208"/>
      <c r="O8" s="191"/>
      <c r="P8" s="192"/>
      <c r="Q8" s="192"/>
      <c r="R8" s="192"/>
      <c r="S8" s="192"/>
      <c r="T8" s="193"/>
      <c r="U8" s="200"/>
      <c r="V8" s="200"/>
      <c r="W8" s="201"/>
      <c r="X8" s="201"/>
      <c r="Y8" s="200"/>
      <c r="Z8" s="202"/>
      <c r="AA8" s="196"/>
      <c r="AB8" s="97"/>
    </row>
    <row r="9" spans="1:28" s="63" customFormat="1"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1"/>
    </customSheetView>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phoneticPr fontId="58" type="noConversion"/>
  <conditionalFormatting sqref="B5">
    <cfRule type="expression" dxfId="211" priority="5">
      <formula>MOD(ROW(),2)=0</formula>
    </cfRule>
    <cfRule type="expression" dxfId="210" priority="6">
      <formula>MOD(ROW(),2)=1</formula>
    </cfRule>
  </conditionalFormatting>
  <conditionalFormatting sqref="C5">
    <cfRule type="expression" dxfId="209" priority="3">
      <formula>MOD(ROW(),2)=0</formula>
    </cfRule>
    <cfRule type="expression" dxfId="208" priority="4">
      <formula>MOD(ROW(),2)=1</formula>
    </cfRule>
  </conditionalFormatting>
  <conditionalFormatting sqref="L5">
    <cfRule type="expression" dxfId="1" priority="1">
      <formula>MOD(ROW(),2)=0</formula>
    </cfRule>
    <cfRule type="expression" dxfId="0" priority="2">
      <formula>MOD(ROW(),2)=1</formula>
    </cfRule>
  </conditionalFormatting>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ignoredErrors>
    <ignoredError sqref="D1" unlockedFormula="1"/>
  </ignoredErrors>
  <legacyDrawing r:id="rId4"/>
  <extLst>
    <ext xmlns:x14="http://schemas.microsoft.com/office/spreadsheetml/2009/9/main" uri="{78C0D931-6437-407d-A8EE-F0AAD7539E65}">
      <x14:conditionalFormattings>
        <x14:conditionalFormatting xmlns:xm="http://schemas.microsoft.com/office/excel/2006/main">
          <x14:cfRule type="expression" priority="17"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22"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32"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34" id="{B1238FB2-7508-4501-931B-170B7C9293D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workbookViewId="0">
      <pane xSplit="2" ySplit="4" topLeftCell="L5" activePane="bottomRight" state="frozen"/>
      <selection pane="topRight" activeCell="C1" sqref="C1"/>
      <selection pane="bottomLeft" activeCell="A5" sqref="A5"/>
      <selection pane="bottomRight" activeCell="AA5" sqref="AA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232"/>
      <c r="C5" s="232"/>
      <c r="D5" s="189"/>
      <c r="E5" s="190"/>
      <c r="F5" s="189"/>
      <c r="G5" s="188"/>
      <c r="H5" s="188"/>
      <c r="I5" s="225"/>
      <c r="J5" s="204"/>
      <c r="K5" s="204"/>
      <c r="L5" s="226"/>
      <c r="M5" s="206"/>
      <c r="N5" s="206"/>
      <c r="O5" s="191"/>
      <c r="P5" s="192"/>
      <c r="Q5" s="229"/>
      <c r="R5" s="191"/>
      <c r="S5" s="191"/>
      <c r="T5" s="193"/>
      <c r="U5" s="193"/>
      <c r="V5" s="193"/>
      <c r="W5" s="194"/>
      <c r="X5" s="194"/>
      <c r="Y5" s="193"/>
      <c r="Z5" s="202"/>
      <c r="AA5" s="188"/>
      <c r="AB5" s="97"/>
    </row>
    <row r="6" spans="1:28" s="63" customFormat="1" ht="13.8" x14ac:dyDescent="0.3">
      <c r="A6" s="96" t="s">
        <v>354</v>
      </c>
      <c r="B6" s="233"/>
      <c r="C6" s="233"/>
      <c r="D6" s="197"/>
      <c r="E6" s="190"/>
      <c r="F6" s="189"/>
      <c r="G6" s="188"/>
      <c r="H6" s="188"/>
      <c r="I6" s="225"/>
      <c r="J6" s="207"/>
      <c r="K6" s="207"/>
      <c r="L6" s="227"/>
      <c r="M6" s="208"/>
      <c r="N6" s="208"/>
      <c r="O6" s="191"/>
      <c r="P6" s="192"/>
      <c r="Q6" s="229"/>
      <c r="R6" s="192"/>
      <c r="S6" s="192"/>
      <c r="T6" s="193"/>
      <c r="U6" s="200"/>
      <c r="V6" s="200"/>
      <c r="W6" s="201"/>
      <c r="X6" s="201"/>
      <c r="Y6" s="200"/>
      <c r="Z6" s="202"/>
      <c r="AA6" s="196"/>
      <c r="AB6" s="97"/>
    </row>
    <row r="7" spans="1:28" s="63" customFormat="1" ht="13.8" x14ac:dyDescent="0.3">
      <c r="A7" s="96" t="s">
        <v>355</v>
      </c>
      <c r="B7" s="234"/>
      <c r="C7" s="234"/>
      <c r="D7" s="197"/>
      <c r="E7" s="190"/>
      <c r="F7" s="189"/>
      <c r="G7" s="188"/>
      <c r="H7" s="188"/>
      <c r="I7" s="225"/>
      <c r="J7" s="207"/>
      <c r="K7" s="207"/>
      <c r="L7" s="227"/>
      <c r="M7" s="208"/>
      <c r="N7" s="208"/>
      <c r="O7" s="191"/>
      <c r="P7" s="192"/>
      <c r="Q7" s="229"/>
      <c r="R7" s="192"/>
      <c r="S7" s="192"/>
      <c r="T7" s="193"/>
      <c r="U7" s="200"/>
      <c r="V7" s="200"/>
      <c r="W7" s="201"/>
      <c r="X7" s="201"/>
      <c r="Y7" s="200"/>
      <c r="Z7" s="202"/>
      <c r="AA7" s="196"/>
      <c r="AB7" s="97"/>
    </row>
    <row r="8" spans="1:28" s="63" customFormat="1" ht="13.8" x14ac:dyDescent="0.3">
      <c r="A8" s="96" t="s">
        <v>356</v>
      </c>
      <c r="B8" s="235"/>
      <c r="C8" s="235"/>
      <c r="D8" s="197"/>
      <c r="E8" s="190"/>
      <c r="F8" s="189"/>
      <c r="G8" s="188"/>
      <c r="H8" s="188"/>
      <c r="I8" s="225"/>
      <c r="J8" s="207"/>
      <c r="K8" s="207"/>
      <c r="L8" s="227"/>
      <c r="M8" s="208"/>
      <c r="N8" s="208"/>
      <c r="O8" s="191"/>
      <c r="P8" s="192"/>
      <c r="Q8" s="229"/>
      <c r="R8" s="192"/>
      <c r="S8" s="192"/>
      <c r="T8" s="193"/>
      <c r="U8" s="200"/>
      <c r="V8" s="200"/>
      <c r="W8" s="201"/>
      <c r="X8" s="201"/>
      <c r="Y8" s="200"/>
      <c r="Z8" s="202"/>
      <c r="AA8" s="196"/>
      <c r="AB8" s="97"/>
    </row>
    <row r="9" spans="1:28" s="63" customFormat="1" ht="13.8" x14ac:dyDescent="0.3">
      <c r="A9" s="96" t="s">
        <v>357</v>
      </c>
      <c r="B9" s="235"/>
      <c r="C9" s="235"/>
      <c r="D9" s="197"/>
      <c r="E9" s="190"/>
      <c r="F9" s="189"/>
      <c r="G9" s="188"/>
      <c r="H9" s="188"/>
      <c r="I9" s="225"/>
      <c r="J9" s="207"/>
      <c r="K9" s="207"/>
      <c r="L9" s="227"/>
      <c r="M9" s="208"/>
      <c r="N9" s="208"/>
      <c r="O9" s="191"/>
      <c r="P9" s="192"/>
      <c r="Q9" s="229"/>
      <c r="R9" s="192"/>
      <c r="S9" s="192"/>
      <c r="T9" s="193"/>
      <c r="U9" s="200"/>
      <c r="V9" s="200"/>
      <c r="W9" s="201"/>
      <c r="X9" s="201"/>
      <c r="Y9" s="200"/>
      <c r="Z9" s="202"/>
      <c r="AA9" s="196"/>
      <c r="AB9" s="97"/>
    </row>
    <row r="10" spans="1:28" s="63" customFormat="1" ht="13.8" x14ac:dyDescent="0.3">
      <c r="A10" s="96" t="s">
        <v>358</v>
      </c>
      <c r="B10" s="195"/>
      <c r="C10" s="195"/>
      <c r="D10" s="197"/>
      <c r="E10" s="190"/>
      <c r="F10" s="189"/>
      <c r="G10" s="188"/>
      <c r="H10" s="188"/>
      <c r="I10" s="225"/>
      <c r="J10" s="207"/>
      <c r="K10" s="207"/>
      <c r="L10" s="209"/>
      <c r="M10" s="208"/>
      <c r="N10" s="208"/>
      <c r="O10" s="192"/>
      <c r="P10" s="192"/>
      <c r="Q10" s="192"/>
      <c r="R10" s="192"/>
      <c r="S10" s="192"/>
      <c r="T10" s="193"/>
      <c r="U10" s="200"/>
      <c r="V10" s="200"/>
      <c r="W10" s="201"/>
      <c r="X10" s="201"/>
      <c r="Y10" s="200"/>
      <c r="Z10" s="202"/>
      <c r="AA10" s="196"/>
      <c r="AB10" s="97"/>
    </row>
    <row r="11" spans="1:28" s="63" customFormat="1" ht="13.8" x14ac:dyDescent="0.3">
      <c r="A11" s="96" t="s">
        <v>359</v>
      </c>
      <c r="B11" s="195"/>
      <c r="C11" s="195"/>
      <c r="D11" s="197"/>
      <c r="E11" s="190"/>
      <c r="F11" s="189"/>
      <c r="G11" s="188"/>
      <c r="H11" s="188"/>
      <c r="I11" s="225"/>
      <c r="J11" s="207"/>
      <c r="K11" s="207"/>
      <c r="L11" s="208"/>
      <c r="M11" s="208"/>
      <c r="N11" s="208"/>
      <c r="O11" s="192"/>
      <c r="P11" s="192"/>
      <c r="Q11" s="192"/>
      <c r="R11" s="192"/>
      <c r="S11" s="192"/>
      <c r="T11" s="193"/>
      <c r="U11" s="200"/>
      <c r="V11" s="200"/>
      <c r="W11" s="201"/>
      <c r="X11" s="201"/>
      <c r="Y11" s="200"/>
      <c r="Z11" s="202"/>
      <c r="AA11" s="196"/>
      <c r="AB11" s="97"/>
    </row>
    <row r="12" spans="1:28" s="63" customFormat="1" ht="13.8" x14ac:dyDescent="0.3">
      <c r="A12" s="96" t="s">
        <v>360</v>
      </c>
      <c r="B12" s="195"/>
      <c r="C12" s="195"/>
      <c r="D12" s="197"/>
      <c r="E12" s="190"/>
      <c r="F12" s="189"/>
      <c r="G12" s="188"/>
      <c r="H12" s="188"/>
      <c r="I12" s="225"/>
      <c r="J12" s="207"/>
      <c r="K12" s="207"/>
      <c r="L12" s="208"/>
      <c r="M12" s="208"/>
      <c r="N12" s="208"/>
      <c r="O12" s="192"/>
      <c r="P12" s="192"/>
      <c r="Q12" s="192"/>
      <c r="R12" s="192"/>
      <c r="S12" s="192"/>
      <c r="T12" s="193"/>
      <c r="U12" s="200"/>
      <c r="V12" s="200"/>
      <c r="W12" s="201"/>
      <c r="X12" s="201"/>
      <c r="Y12" s="200"/>
      <c r="Z12" s="202"/>
      <c r="AA12" s="196"/>
      <c r="AB12" s="97"/>
    </row>
    <row r="13" spans="1:28" s="63" customFormat="1" ht="13.8" x14ac:dyDescent="0.3">
      <c r="A13" s="96" t="s">
        <v>361</v>
      </c>
      <c r="B13" s="195"/>
      <c r="C13" s="195"/>
      <c r="D13" s="197"/>
      <c r="E13" s="190"/>
      <c r="F13" s="189"/>
      <c r="G13" s="188"/>
      <c r="H13" s="188"/>
      <c r="I13" s="225"/>
      <c r="J13" s="207"/>
      <c r="K13" s="207"/>
      <c r="L13" s="208"/>
      <c r="M13" s="208"/>
      <c r="N13" s="208"/>
      <c r="O13" s="192"/>
      <c r="P13" s="192"/>
      <c r="Q13" s="192"/>
      <c r="R13" s="192"/>
      <c r="S13" s="192"/>
      <c r="T13" s="193"/>
      <c r="U13" s="200"/>
      <c r="V13" s="200"/>
      <c r="W13" s="201"/>
      <c r="X13" s="201"/>
      <c r="Y13" s="200"/>
      <c r="Z13" s="202"/>
      <c r="AA13" s="196"/>
      <c r="AB13" s="97"/>
    </row>
    <row r="14" spans="1:28" s="63" customFormat="1" ht="27.6" x14ac:dyDescent="0.3">
      <c r="A14" s="96" t="s">
        <v>362</v>
      </c>
      <c r="B14" s="195"/>
      <c r="C14" s="195"/>
      <c r="D14" s="197"/>
      <c r="E14" s="190"/>
      <c r="F14" s="189"/>
      <c r="G14" s="188"/>
      <c r="H14" s="188"/>
      <c r="I14" s="225"/>
      <c r="J14" s="207"/>
      <c r="K14" s="207"/>
      <c r="L14" s="208"/>
      <c r="M14" s="208"/>
      <c r="N14" s="208"/>
      <c r="O14" s="192"/>
      <c r="P14" s="192"/>
      <c r="Q14" s="192"/>
      <c r="R14" s="192"/>
      <c r="S14" s="192"/>
      <c r="T14" s="193"/>
      <c r="U14" s="200"/>
      <c r="V14" s="200"/>
      <c r="W14" s="201"/>
      <c r="X14" s="201"/>
      <c r="Y14" s="200"/>
      <c r="Z14" s="202"/>
      <c r="AA14" s="196"/>
      <c r="AB14" s="97"/>
    </row>
    <row r="15" spans="1:28" s="63" customFormat="1" ht="27.6" x14ac:dyDescent="0.3">
      <c r="A15" s="96" t="s">
        <v>363</v>
      </c>
      <c r="B15" s="195"/>
      <c r="C15" s="195"/>
      <c r="D15" s="197"/>
      <c r="E15" s="190"/>
      <c r="F15" s="189"/>
      <c r="G15" s="188"/>
      <c r="H15" s="188"/>
      <c r="I15" s="225"/>
      <c r="J15" s="207"/>
      <c r="K15" s="207"/>
      <c r="L15" s="208"/>
      <c r="M15" s="208"/>
      <c r="N15" s="208"/>
      <c r="O15" s="192"/>
      <c r="P15" s="192"/>
      <c r="Q15" s="192"/>
      <c r="R15" s="192"/>
      <c r="S15" s="192"/>
      <c r="T15" s="193"/>
      <c r="U15" s="200"/>
      <c r="V15" s="200"/>
      <c r="W15" s="201"/>
      <c r="X15" s="201"/>
      <c r="Y15" s="200"/>
      <c r="Z15" s="202"/>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8" type="noConversion"/>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61FF008-9A30-43F8-B715-5530CBBA4E5F}">
            <xm:f>$D5=HID_dropdown!$B$2</xm:f>
            <x14:dxf>
              <fill>
                <patternFill>
                  <bgColor rgb="FFF3EBF9"/>
                </patternFill>
              </fill>
            </x14:dxf>
          </x14:cfRule>
          <xm:sqref>W5:X19</xm:sqref>
        </x14:conditionalFormatting>
        <x14:conditionalFormatting xmlns:xm="http://schemas.microsoft.com/office/excel/2006/main">
          <x14:cfRule type="expression" priority="2" id="{666D00BB-76B6-4BFB-A3B6-FA3A07CD5F17}">
            <xm:f>$O5=HID_dropdown!$G$3</xm:f>
            <x14:dxf>
              <fill>
                <patternFill>
                  <bgColor theme="1"/>
                </patternFill>
              </fill>
            </x14:dxf>
          </x14:cfRule>
          <xm:sqref>P5:R19</xm:sqref>
        </x14:conditionalFormatting>
        <x14:conditionalFormatting xmlns:xm="http://schemas.microsoft.com/office/excel/2006/main">
          <x14:cfRule type="expression" priority="3" id="{4F6AD9C2-BCA4-4BAD-9318-5065E46FF05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DDB06D2-73A0-4C3F-ABD7-23F8E85C1A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D1" sqref="D1"/>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2.5546875" style="62" customWidth="1"/>
    <col min="8" max="8" width="16.44140625" style="62" customWidth="1"/>
    <col min="9" max="14" width="11.6640625" style="62" customWidth="1"/>
    <col min="15" max="16" width="16.6640625" style="62" bestFit="1" customWidth="1"/>
    <col min="17" max="18" width="12.33203125" style="62" bestFit="1" customWidth="1"/>
    <col min="19" max="19" width="14.44140625" style="62" customWidth="1"/>
    <col min="20"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522</v>
      </c>
      <c r="R4" s="158" t="s">
        <v>522</v>
      </c>
      <c r="S4" s="159"/>
      <c r="T4" s="155"/>
      <c r="U4" s="158" t="s">
        <v>242</v>
      </c>
      <c r="V4" s="158" t="s">
        <v>242</v>
      </c>
      <c r="W4" s="160" t="s">
        <v>243</v>
      </c>
      <c r="X4" s="161" t="s">
        <v>244</v>
      </c>
      <c r="Y4" s="155"/>
      <c r="Z4" s="155"/>
      <c r="AA4" s="155"/>
      <c r="AB4" s="90"/>
    </row>
    <row r="5" spans="1:28" s="63" customFormat="1" ht="13.8" x14ac:dyDescent="0.3">
      <c r="A5" s="96" t="s">
        <v>353</v>
      </c>
      <c r="B5" s="187"/>
      <c r="C5" s="187"/>
      <c r="D5" s="189"/>
      <c r="E5" s="190"/>
      <c r="F5" s="189"/>
      <c r="G5" s="188"/>
      <c r="H5" s="188"/>
      <c r="I5" s="225"/>
      <c r="J5" s="204"/>
      <c r="K5" s="204"/>
      <c r="L5" s="226"/>
      <c r="M5" s="206"/>
      <c r="N5" s="206"/>
      <c r="O5" s="191"/>
      <c r="P5" s="192"/>
      <c r="Q5" s="229"/>
      <c r="R5" s="191"/>
      <c r="S5" s="191"/>
      <c r="T5" s="193"/>
      <c r="U5" s="231"/>
      <c r="V5" s="231"/>
      <c r="W5" s="231"/>
      <c r="X5" s="231"/>
      <c r="Y5" s="193"/>
      <c r="Z5" s="202"/>
      <c r="AA5" s="188"/>
      <c r="AB5" s="97"/>
    </row>
    <row r="6" spans="1:28" s="63" customFormat="1" ht="13.8" x14ac:dyDescent="0.3">
      <c r="A6" s="96" t="s">
        <v>354</v>
      </c>
      <c r="B6" s="195"/>
      <c r="C6" s="195"/>
      <c r="D6" s="197"/>
      <c r="E6" s="190"/>
      <c r="F6" s="199"/>
      <c r="G6" s="188"/>
      <c r="H6" s="188"/>
      <c r="I6" s="225"/>
      <c r="J6" s="207"/>
      <c r="K6" s="207"/>
      <c r="L6" s="227"/>
      <c r="M6" s="208"/>
      <c r="N6" s="208"/>
      <c r="O6" s="192"/>
      <c r="P6" s="192"/>
      <c r="Q6" s="229"/>
      <c r="R6" s="192"/>
      <c r="S6" s="192"/>
      <c r="T6" s="193"/>
      <c r="U6" s="199"/>
      <c r="V6" s="199"/>
      <c r="W6" s="199"/>
      <c r="X6" s="199"/>
      <c r="Y6" s="200"/>
      <c r="Z6" s="202"/>
      <c r="AA6" s="196"/>
      <c r="AB6" s="97"/>
    </row>
    <row r="7" spans="1:28" s="63" customFormat="1" ht="13.8" x14ac:dyDescent="0.3">
      <c r="A7" s="96" t="s">
        <v>355</v>
      </c>
      <c r="B7" s="195"/>
      <c r="C7" s="195"/>
      <c r="D7" s="197"/>
      <c r="E7" s="190"/>
      <c r="F7" s="199"/>
      <c r="G7" s="188"/>
      <c r="H7" s="188"/>
      <c r="I7" s="225"/>
      <c r="J7" s="207"/>
      <c r="K7" s="207"/>
      <c r="L7" s="227"/>
      <c r="M7" s="208"/>
      <c r="N7" s="208"/>
      <c r="O7" s="192"/>
      <c r="P7" s="192"/>
      <c r="Q7" s="229"/>
      <c r="R7" s="192"/>
      <c r="S7" s="192"/>
      <c r="T7" s="193"/>
      <c r="U7" s="199"/>
      <c r="V7" s="199"/>
      <c r="W7" s="199"/>
      <c r="X7" s="199"/>
      <c r="Y7" s="200"/>
      <c r="Z7" s="202"/>
      <c r="AA7" s="196"/>
      <c r="AB7" s="97"/>
    </row>
    <row r="8" spans="1:28" s="63" customFormat="1" ht="13.8" x14ac:dyDescent="0.3">
      <c r="A8" s="96" t="s">
        <v>356</v>
      </c>
      <c r="B8" s="195"/>
      <c r="C8" s="195"/>
      <c r="D8" s="197"/>
      <c r="E8" s="190"/>
      <c r="F8" s="199"/>
      <c r="G8" s="188"/>
      <c r="H8" s="188"/>
      <c r="I8" s="225"/>
      <c r="J8" s="207"/>
      <c r="K8" s="207"/>
      <c r="L8" s="227"/>
      <c r="M8" s="208"/>
      <c r="N8" s="208"/>
      <c r="O8" s="192"/>
      <c r="P8" s="192"/>
      <c r="Q8" s="192"/>
      <c r="R8" s="192"/>
      <c r="S8" s="192"/>
      <c r="T8" s="200"/>
      <c r="U8" s="199"/>
      <c r="V8" s="199"/>
      <c r="W8" s="199"/>
      <c r="X8" s="199"/>
      <c r="Y8" s="200"/>
      <c r="Z8" s="202"/>
      <c r="AA8" s="196"/>
      <c r="AB8" s="97"/>
    </row>
    <row r="9" spans="1:28" s="63" customFormat="1" ht="13.8" x14ac:dyDescent="0.3">
      <c r="A9" s="96" t="s">
        <v>357</v>
      </c>
      <c r="B9" s="195"/>
      <c r="C9" s="195"/>
      <c r="D9" s="197"/>
      <c r="E9" s="190"/>
      <c r="F9" s="199"/>
      <c r="G9" s="188"/>
      <c r="H9" s="188"/>
      <c r="I9" s="225"/>
      <c r="J9" s="207"/>
      <c r="K9" s="207"/>
      <c r="L9" s="227"/>
      <c r="M9" s="208"/>
      <c r="N9" s="208"/>
      <c r="O9" s="192"/>
      <c r="P9" s="192"/>
      <c r="Q9" s="192"/>
      <c r="R9" s="192"/>
      <c r="S9" s="192"/>
      <c r="T9" s="200"/>
      <c r="U9" s="199"/>
      <c r="V9" s="199"/>
      <c r="W9" s="199"/>
      <c r="X9" s="199"/>
      <c r="Y9" s="200"/>
      <c r="Z9" s="202"/>
      <c r="AA9" s="196"/>
      <c r="AB9" s="97"/>
    </row>
    <row r="10" spans="1:28" s="63" customFormat="1" ht="13.8" x14ac:dyDescent="0.3">
      <c r="A10" s="96" t="s">
        <v>358</v>
      </c>
      <c r="B10" s="195"/>
      <c r="C10" s="195"/>
      <c r="D10" s="197"/>
      <c r="E10" s="198"/>
      <c r="F10" s="199"/>
      <c r="G10" s="196"/>
      <c r="H10" s="196"/>
      <c r="I10" s="225"/>
      <c r="J10" s="207"/>
      <c r="K10" s="207"/>
      <c r="L10" s="228"/>
      <c r="M10" s="208"/>
      <c r="N10" s="208"/>
      <c r="O10" s="192"/>
      <c r="P10" s="192"/>
      <c r="Q10" s="192"/>
      <c r="R10" s="192"/>
      <c r="S10" s="192"/>
      <c r="T10" s="193"/>
      <c r="U10" s="199"/>
      <c r="V10" s="199"/>
      <c r="W10" s="199"/>
      <c r="X10" s="199"/>
      <c r="Y10" s="200"/>
      <c r="Z10" s="202"/>
      <c r="AA10" s="196"/>
      <c r="AB10" s="97"/>
    </row>
    <row r="11" spans="1:28" s="63" customFormat="1" ht="13.8" x14ac:dyDescent="0.3">
      <c r="A11" s="96" t="s">
        <v>359</v>
      </c>
      <c r="B11" s="195"/>
      <c r="C11" s="195"/>
      <c r="D11" s="197"/>
      <c r="E11" s="198"/>
      <c r="F11" s="199"/>
      <c r="G11" s="196"/>
      <c r="H11" s="196"/>
      <c r="I11" s="207"/>
      <c r="J11" s="207"/>
      <c r="K11" s="207"/>
      <c r="L11" s="208"/>
      <c r="M11" s="208"/>
      <c r="N11" s="208"/>
      <c r="O11" s="192"/>
      <c r="P11" s="192"/>
      <c r="Q11" s="230"/>
      <c r="R11" s="192"/>
      <c r="S11" s="192"/>
      <c r="T11" s="200"/>
      <c r="U11" s="199"/>
      <c r="V11" s="199"/>
      <c r="W11" s="199"/>
      <c r="X11" s="199"/>
      <c r="Y11" s="200"/>
      <c r="Z11" s="202"/>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199"/>
      <c r="V12" s="199"/>
      <c r="W12" s="199"/>
      <c r="X12" s="199"/>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199"/>
      <c r="V13" s="199"/>
      <c r="W13" s="199"/>
      <c r="X13" s="199"/>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199"/>
      <c r="V14" s="199"/>
      <c r="W14" s="199"/>
      <c r="X14" s="199"/>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199"/>
      <c r="V15" s="199"/>
      <c r="W15" s="199"/>
      <c r="X15" s="199"/>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199"/>
      <c r="V16" s="199"/>
      <c r="W16" s="199"/>
      <c r="X16" s="199"/>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199"/>
      <c r="V17" s="199"/>
      <c r="W17" s="199"/>
      <c r="X17" s="199"/>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199"/>
      <c r="V18" s="199"/>
      <c r="W18" s="199"/>
      <c r="X18" s="199"/>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199"/>
      <c r="V19" s="199"/>
      <c r="W19" s="199"/>
      <c r="X19" s="199"/>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8" type="noConversion"/>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32D5A2D-ED37-4868-B14E-22D5279AFDCD}">
            <xm:f>$D5=HID_dropdown!$B$2</xm:f>
            <x14:dxf>
              <fill>
                <patternFill>
                  <bgColor rgb="FFF3EBF9"/>
                </patternFill>
              </fill>
            </x14:dxf>
          </x14:cfRule>
          <xm:sqref>W5:X19</xm:sqref>
        </x14:conditionalFormatting>
        <x14:conditionalFormatting xmlns:xm="http://schemas.microsoft.com/office/excel/2006/main">
          <x14:cfRule type="expression" priority="2" id="{8C2AFAE1-B627-4890-B04F-8ECD4313B51F}">
            <xm:f>$O5=HID_dropdown!$G$3</xm:f>
            <x14:dxf>
              <fill>
                <patternFill>
                  <bgColor theme="1"/>
                </patternFill>
              </fill>
            </x14:dxf>
          </x14:cfRule>
          <xm:sqref>P5:R19</xm:sqref>
        </x14:conditionalFormatting>
        <x14:conditionalFormatting xmlns:xm="http://schemas.microsoft.com/office/excel/2006/main">
          <x14:cfRule type="expression" priority="3" id="{29119D76-E96D-48D5-BFBA-A1BE7B8A700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45EFEEB-419B-4471-B5E7-E1DA98D503F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4</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04A4E6E-533C-47FC-8A0C-A737F75E0084}">
            <xm:f>$D5=HID_dropdown!$B$2</xm:f>
            <x14:dxf>
              <fill>
                <patternFill>
                  <bgColor rgb="FFF3EBF9"/>
                </patternFill>
              </fill>
            </x14:dxf>
          </x14:cfRule>
          <xm:sqref>W5:X19</xm:sqref>
        </x14:conditionalFormatting>
        <x14:conditionalFormatting xmlns:xm="http://schemas.microsoft.com/office/excel/2006/main">
          <x14:cfRule type="expression" priority="2" id="{0F2B8F1C-7900-47E3-8A0C-1D587CFDE7C3}">
            <xm:f>$O5=HID_dropdown!$G$3</xm:f>
            <x14:dxf>
              <fill>
                <patternFill>
                  <bgColor theme="1"/>
                </patternFill>
              </fill>
            </x14:dxf>
          </x14:cfRule>
          <xm:sqref>P5:R19</xm:sqref>
        </x14:conditionalFormatting>
        <x14:conditionalFormatting xmlns:xm="http://schemas.microsoft.com/office/excel/2006/main">
          <x14:cfRule type="expression" priority="3" id="{D97C6875-2BCC-4285-B91F-3B28C34C217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C385A2D-6ED4-4190-8E69-DB7E03166FF3}">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E5:E19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5</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471ED16-C356-4748-84D8-5E7B70508B05}">
            <xm:f>$D5=HID_dropdown!$B$2</xm:f>
            <x14:dxf>
              <fill>
                <patternFill>
                  <bgColor rgb="FFF3EBF9"/>
                </patternFill>
              </fill>
            </x14:dxf>
          </x14:cfRule>
          <xm:sqref>W5:X19</xm:sqref>
        </x14:conditionalFormatting>
        <x14:conditionalFormatting xmlns:xm="http://schemas.microsoft.com/office/excel/2006/main">
          <x14:cfRule type="expression" priority="2" id="{44877E89-54FD-474C-8DA1-247F5ED3B271}">
            <xm:f>$O5=HID_dropdown!$G$3</xm:f>
            <x14:dxf>
              <fill>
                <patternFill>
                  <bgColor theme="1"/>
                </patternFill>
              </fill>
            </x14:dxf>
          </x14:cfRule>
          <xm:sqref>P5:R19</xm:sqref>
        </x14:conditionalFormatting>
        <x14:conditionalFormatting xmlns:xm="http://schemas.microsoft.com/office/excel/2006/main">
          <x14:cfRule type="expression" priority="3" id="{1482D3A9-E117-4E30-9532-A209121CC53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2532B19-D2F4-4710-8C73-F13E6D78A7B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E5:E19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6</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7</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8</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9</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10</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11</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12</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13</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14</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15</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16</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17</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18</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19</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20</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21</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22</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23</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24</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25</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26</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27</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28</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29</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30</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31</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32</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33</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34</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35</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36</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37</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38</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39</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40</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election activeCell="B7" sqref="B7"/>
    </sheetView>
  </sheetViews>
  <sheetFormatPr defaultColWidth="0" defaultRowHeight="13.8" zeroHeight="1" x14ac:dyDescent="0.3"/>
  <cols>
    <col min="1" max="1" width="29" style="130" customWidth="1"/>
    <col min="2" max="2" width="14.33203125" style="99" customWidth="1"/>
    <col min="3" max="3" width="15" style="99" customWidth="1"/>
    <col min="4" max="4" width="14.33203125" style="99" customWidth="1"/>
    <col min="5" max="5" width="15.33203125" style="99" customWidth="1"/>
    <col min="6" max="6" width="14.33203125" style="99" customWidth="1"/>
    <col min="7" max="7" width="15.109375" style="99" customWidth="1"/>
    <col min="8" max="8" width="2.6640625" style="98" customWidth="1"/>
    <col min="9" max="17" width="0" style="99" hidden="1" customWidth="1"/>
    <col min="18" max="16384" width="9.109375" style="99" hidden="1"/>
  </cols>
  <sheetData>
    <row r="1" spans="1:7" ht="16.5" customHeight="1" thickBot="1" x14ac:dyDescent="0.35">
      <c r="A1" s="136" t="s">
        <v>348</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48" t="s">
        <v>368</v>
      </c>
      <c r="B4" s="248"/>
      <c r="C4" s="248"/>
      <c r="D4" s="248"/>
      <c r="E4" s="248"/>
      <c r="F4" s="248"/>
      <c r="G4" s="248"/>
    </row>
    <row r="5" spans="1:7" ht="15" customHeight="1" x14ac:dyDescent="0.3">
      <c r="A5" s="125"/>
      <c r="B5" s="249" t="s">
        <v>374</v>
      </c>
      <c r="C5" s="250"/>
      <c r="D5" s="249" t="s">
        <v>375</v>
      </c>
      <c r="E5" s="250"/>
      <c r="F5" s="249" t="s">
        <v>376</v>
      </c>
      <c r="G5" s="250"/>
    </row>
    <row r="6" spans="1:7" ht="27.6" x14ac:dyDescent="0.3">
      <c r="A6" s="126"/>
      <c r="B6" s="105" t="s">
        <v>377</v>
      </c>
      <c r="C6" s="106" t="s">
        <v>378</v>
      </c>
      <c r="D6" s="105" t="s">
        <v>377</v>
      </c>
      <c r="E6" s="106" t="s">
        <v>379</v>
      </c>
      <c r="F6" s="105" t="s">
        <v>377</v>
      </c>
      <c r="G6" s="106" t="s">
        <v>380</v>
      </c>
    </row>
    <row r="7" spans="1:7" x14ac:dyDescent="0.3">
      <c r="A7" s="165" t="s">
        <v>369</v>
      </c>
      <c r="B7" s="210"/>
      <c r="C7" s="210"/>
      <c r="D7" s="210"/>
      <c r="E7" s="210"/>
      <c r="F7" s="210"/>
      <c r="G7" s="210"/>
    </row>
    <row r="8" spans="1:7" x14ac:dyDescent="0.3">
      <c r="A8" s="166" t="s">
        <v>370</v>
      </c>
      <c r="B8" s="210"/>
      <c r="C8" s="210"/>
      <c r="D8" s="210"/>
      <c r="E8" s="210"/>
      <c r="F8" s="210"/>
      <c r="G8" s="210"/>
    </row>
    <row r="9" spans="1:7" x14ac:dyDescent="0.3">
      <c r="A9" s="167" t="s">
        <v>371</v>
      </c>
      <c r="B9" s="210"/>
      <c r="C9" s="210"/>
      <c r="D9" s="210"/>
      <c r="E9" s="210"/>
      <c r="F9" s="210"/>
      <c r="G9" s="210"/>
    </row>
    <row r="10" spans="1:7" x14ac:dyDescent="0.3">
      <c r="A10" s="167" t="s">
        <v>372</v>
      </c>
      <c r="B10" s="210"/>
      <c r="C10" s="210"/>
      <c r="D10" s="210"/>
      <c r="E10" s="210"/>
      <c r="F10" s="210"/>
      <c r="G10" s="210"/>
    </row>
    <row r="11" spans="1:7" x14ac:dyDescent="0.3">
      <c r="A11" s="165" t="s">
        <v>373</v>
      </c>
      <c r="B11" s="211"/>
      <c r="C11" s="211"/>
      <c r="D11" s="211"/>
      <c r="E11" s="211"/>
      <c r="F11" s="211"/>
      <c r="G11" s="211"/>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381</v>
      </c>
      <c r="B14" s="98"/>
      <c r="C14" s="98"/>
      <c r="D14" s="98"/>
      <c r="E14" s="98"/>
      <c r="F14" s="98"/>
      <c r="G14" s="98"/>
    </row>
    <row r="15" spans="1:7" x14ac:dyDescent="0.3">
      <c r="A15" s="124"/>
      <c r="B15" s="98"/>
      <c r="C15" s="98"/>
      <c r="D15" s="98"/>
      <c r="E15" s="98"/>
      <c r="F15" s="98"/>
      <c r="G15" s="98"/>
    </row>
    <row r="16" spans="1:7" ht="41.4" x14ac:dyDescent="0.3">
      <c r="A16" s="128"/>
      <c r="B16" s="107" t="s">
        <v>382</v>
      </c>
      <c r="C16" s="107" t="s">
        <v>383</v>
      </c>
      <c r="D16" s="107" t="s">
        <v>384</v>
      </c>
      <c r="E16" s="107" t="s">
        <v>385</v>
      </c>
      <c r="F16" s="98"/>
      <c r="G16" s="98"/>
    </row>
    <row r="17" spans="1:17" x14ac:dyDescent="0.3">
      <c r="A17" s="168" t="s">
        <v>386</v>
      </c>
      <c r="B17" s="108"/>
      <c r="C17" s="108"/>
      <c r="D17" s="108"/>
      <c r="E17" s="108"/>
      <c r="F17" s="98"/>
      <c r="G17" s="98"/>
    </row>
    <row r="18" spans="1:17" x14ac:dyDescent="0.3">
      <c r="A18" s="168" t="s">
        <v>387</v>
      </c>
      <c r="B18" s="108"/>
      <c r="C18" s="108"/>
      <c r="D18" s="108"/>
      <c r="E18" s="108"/>
      <c r="F18" s="98"/>
      <c r="G18" s="98"/>
    </row>
    <row r="19" spans="1:17" x14ac:dyDescent="0.3">
      <c r="A19" s="168" t="s">
        <v>388</v>
      </c>
      <c r="B19" s="108"/>
      <c r="C19" s="108"/>
      <c r="D19" s="108"/>
      <c r="E19" s="108"/>
      <c r="F19" s="98"/>
      <c r="G19" s="98"/>
    </row>
    <row r="20" spans="1:17" x14ac:dyDescent="0.3">
      <c r="A20" s="168" t="s">
        <v>389</v>
      </c>
      <c r="B20" s="108"/>
      <c r="C20" s="108"/>
      <c r="D20" s="108"/>
      <c r="E20" s="108"/>
      <c r="F20" s="98"/>
      <c r="G20" s="98"/>
    </row>
    <row r="21" spans="1:17" x14ac:dyDescent="0.3">
      <c r="A21" s="169" t="s">
        <v>390</v>
      </c>
      <c r="B21" s="108"/>
      <c r="C21" s="108"/>
      <c r="D21" s="108"/>
      <c r="E21" s="108"/>
      <c r="F21" s="98"/>
      <c r="G21" s="98"/>
    </row>
    <row r="22" spans="1:17" x14ac:dyDescent="0.3">
      <c r="A22" s="169" t="s">
        <v>391</v>
      </c>
      <c r="B22" s="108"/>
      <c r="C22" s="108"/>
      <c r="D22" s="108"/>
      <c r="E22" s="108"/>
      <c r="F22" s="98"/>
      <c r="G22" s="98"/>
    </row>
    <row r="23" spans="1:17" x14ac:dyDescent="0.3">
      <c r="A23" s="169" t="s">
        <v>392</v>
      </c>
      <c r="B23" s="108"/>
      <c r="C23" s="108"/>
      <c r="D23" s="108"/>
      <c r="E23" s="108"/>
      <c r="F23" s="98"/>
      <c r="G23" s="98"/>
    </row>
    <row r="24" spans="1:17" x14ac:dyDescent="0.3">
      <c r="A24" s="169" t="s">
        <v>393</v>
      </c>
      <c r="B24" s="108"/>
      <c r="C24" s="108"/>
      <c r="D24" s="108"/>
      <c r="E24" s="108"/>
      <c r="F24" s="98"/>
      <c r="G24" s="98"/>
    </row>
    <row r="25" spans="1:17" x14ac:dyDescent="0.3">
      <c r="A25" s="169" t="s">
        <v>394</v>
      </c>
      <c r="B25" s="108"/>
      <c r="C25" s="108"/>
      <c r="D25" s="108"/>
      <c r="E25" s="108"/>
      <c r="F25" s="98"/>
      <c r="G25" s="98"/>
    </row>
    <row r="26" spans="1:17" x14ac:dyDescent="0.3">
      <c r="A26" s="168" t="s">
        <v>395</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51"/>
      <c r="C28" s="251"/>
      <c r="D28" s="88" t="s">
        <v>17</v>
      </c>
      <c r="E28" s="251"/>
      <c r="F28" s="251"/>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43331C61-E5DE-4680-8381-52BB1541163B}">
      <selection activeCell="A31" sqref="A31:L32"/>
      <pageMargins left="0.7" right="0.7" top="0.75" bottom="0.75" header="0.3" footer="0.3"/>
      <pageSetup paperSize="9" orientation="portrait" verticalDpi="0" r:id="rId1"/>
    </customSheetView>
    <customSheetView guid="{05B837B4-FDDA-47B8-9D6D-B0632FFD6D77}">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defaultColWidth="0" defaultRowHeight="14.4" zeroHeight="1" x14ac:dyDescent="0.3"/>
  <cols>
    <col min="1" max="5" width="10.44140625" style="86" customWidth="1"/>
    <col min="6" max="6" width="10.44140625" customWidth="1"/>
    <col min="7" max="7" width="10" style="86" customWidth="1"/>
    <col min="8" max="8" width="19.6640625" style="86" bestFit="1" customWidth="1"/>
    <col min="9" max="17" width="11" style="86" customWidth="1"/>
    <col min="18" max="18" width="12.33203125" style="86" customWidth="1"/>
    <col min="19" max="16384" width="12.33203125" style="86" hidden="1"/>
  </cols>
  <sheetData>
    <row r="1" spans="1:17" ht="37.5" customHeight="1" x14ac:dyDescent="0.3">
      <c r="A1" s="85" t="s">
        <v>192</v>
      </c>
      <c r="B1" s="85" t="s">
        <v>180</v>
      </c>
      <c r="C1" s="85" t="s">
        <v>181</v>
      </c>
      <c r="D1" s="85" t="s">
        <v>182</v>
      </c>
      <c r="E1" s="85" t="s">
        <v>183</v>
      </c>
      <c r="F1" s="85" t="s">
        <v>184</v>
      </c>
      <c r="G1" s="85" t="s">
        <v>185</v>
      </c>
      <c r="H1" s="85" t="s">
        <v>186</v>
      </c>
      <c r="I1" s="85" t="s">
        <v>187</v>
      </c>
      <c r="J1" s="85" t="s">
        <v>188</v>
      </c>
      <c r="K1" s="85" t="s">
        <v>191</v>
      </c>
      <c r="L1" s="85" t="s">
        <v>190</v>
      </c>
      <c r="M1" s="85" t="s">
        <v>189</v>
      </c>
      <c r="N1" s="85" t="s">
        <v>193</v>
      </c>
      <c r="O1" s="85" t="s">
        <v>194</v>
      </c>
      <c r="P1" s="111" t="s">
        <v>195</v>
      </c>
      <c r="Q1" s="112" t="s">
        <v>195</v>
      </c>
    </row>
    <row r="2" spans="1:17" ht="37.5" customHeight="1" x14ac:dyDescent="0.3">
      <c r="A2" s="86" t="s">
        <v>396</v>
      </c>
      <c r="B2" s="87" t="s">
        <v>216</v>
      </c>
      <c r="C2" s="86" t="s">
        <v>374</v>
      </c>
      <c r="D2" s="86" t="s">
        <v>221</v>
      </c>
      <c r="E2" s="86" t="s">
        <v>1</v>
      </c>
      <c r="F2" s="86" t="s">
        <v>422</v>
      </c>
      <c r="G2" s="86" t="s">
        <v>425</v>
      </c>
      <c r="H2" s="86" t="s">
        <v>427</v>
      </c>
      <c r="I2" s="79" t="s">
        <v>430</v>
      </c>
      <c r="J2" s="86" t="s">
        <v>434</v>
      </c>
      <c r="K2" s="79" t="s">
        <v>432</v>
      </c>
      <c r="L2" s="86" t="s">
        <v>436</v>
      </c>
      <c r="M2" s="79" t="s">
        <v>441</v>
      </c>
      <c r="N2" s="79" t="s">
        <v>10</v>
      </c>
      <c r="O2" s="79" t="s">
        <v>442</v>
      </c>
      <c r="P2" s="109" t="s">
        <v>196</v>
      </c>
      <c r="Q2" s="110" t="s">
        <v>196</v>
      </c>
    </row>
    <row r="3" spans="1:17" ht="37.5" customHeight="1" x14ac:dyDescent="0.3">
      <c r="A3" s="86" t="s">
        <v>397</v>
      </c>
      <c r="B3" s="87" t="s">
        <v>399</v>
      </c>
      <c r="C3" s="86" t="s">
        <v>406</v>
      </c>
      <c r="D3" s="86" t="s">
        <v>417</v>
      </c>
      <c r="E3" s="86" t="s">
        <v>420</v>
      </c>
      <c r="F3" s="86" t="s">
        <v>423</v>
      </c>
      <c r="G3" s="86" t="s">
        <v>426</v>
      </c>
      <c r="H3" s="86" t="s">
        <v>428</v>
      </c>
      <c r="I3" s="79" t="s">
        <v>431</v>
      </c>
      <c r="J3" s="86" t="s">
        <v>435</v>
      </c>
      <c r="K3" s="79" t="s">
        <v>433</v>
      </c>
      <c r="L3" s="86" t="s">
        <v>437</v>
      </c>
      <c r="M3" s="79" t="s">
        <v>439</v>
      </c>
      <c r="N3" s="79"/>
      <c r="O3" s="86" t="s">
        <v>443</v>
      </c>
      <c r="P3" s="109" t="s">
        <v>453</v>
      </c>
      <c r="Q3" s="110" t="s">
        <v>453</v>
      </c>
    </row>
    <row r="4" spans="1:17" ht="37.5" customHeight="1" x14ac:dyDescent="0.3">
      <c r="A4" s="86" t="s">
        <v>398</v>
      </c>
      <c r="B4" s="87" t="s">
        <v>400</v>
      </c>
      <c r="C4" s="86" t="s">
        <v>407</v>
      </c>
      <c r="D4" s="86" t="s">
        <v>418</v>
      </c>
      <c r="E4" s="86" t="s">
        <v>421</v>
      </c>
      <c r="F4" s="86" t="s">
        <v>424</v>
      </c>
      <c r="G4" s="79"/>
      <c r="H4" s="86" t="s">
        <v>429</v>
      </c>
      <c r="I4" s="79"/>
      <c r="J4" s="79"/>
      <c r="K4" s="79"/>
      <c r="L4" s="86" t="s">
        <v>438</v>
      </c>
      <c r="M4" s="79" t="s">
        <v>9</v>
      </c>
      <c r="N4" s="79"/>
      <c r="O4" s="79" t="s">
        <v>444</v>
      </c>
      <c r="P4" s="109" t="s">
        <v>246</v>
      </c>
      <c r="Q4" s="110" t="s">
        <v>246</v>
      </c>
    </row>
    <row r="5" spans="1:17" ht="37.5" customHeight="1" x14ac:dyDescent="0.3">
      <c r="A5" s="79"/>
      <c r="B5" s="87" t="s">
        <v>401</v>
      </c>
      <c r="C5" s="86" t="s">
        <v>408</v>
      </c>
      <c r="D5" s="86" t="s">
        <v>419</v>
      </c>
      <c r="E5" s="79"/>
      <c r="F5" s="79"/>
      <c r="G5" s="79"/>
      <c r="H5" s="79"/>
      <c r="I5" s="79"/>
      <c r="J5" s="79"/>
      <c r="K5" s="79"/>
      <c r="L5" s="79"/>
      <c r="M5" s="79" t="s">
        <v>440</v>
      </c>
      <c r="N5" s="79"/>
      <c r="O5" s="86" t="s">
        <v>445</v>
      </c>
      <c r="P5" s="109" t="s">
        <v>247</v>
      </c>
      <c r="Q5" s="110" t="s">
        <v>247</v>
      </c>
    </row>
    <row r="6" spans="1:17" ht="37.5" customHeight="1" x14ac:dyDescent="0.3">
      <c r="A6" s="79"/>
      <c r="B6" s="87" t="s">
        <v>402</v>
      </c>
      <c r="C6" s="86" t="s">
        <v>409</v>
      </c>
      <c r="D6" s="79"/>
      <c r="E6" s="79"/>
      <c r="F6" s="79"/>
      <c r="G6" s="79"/>
      <c r="H6" s="79"/>
      <c r="I6" s="79"/>
      <c r="J6" s="79"/>
      <c r="K6" s="79"/>
      <c r="L6" s="79"/>
      <c r="M6" s="79"/>
      <c r="N6" s="79"/>
      <c r="O6" s="86" t="s">
        <v>446</v>
      </c>
      <c r="P6" s="109" t="s">
        <v>248</v>
      </c>
      <c r="Q6" s="110" t="s">
        <v>248</v>
      </c>
    </row>
    <row r="7" spans="1:17" ht="37.5" customHeight="1" x14ac:dyDescent="0.3">
      <c r="A7" s="79"/>
      <c r="B7" s="87" t="s">
        <v>225</v>
      </c>
      <c r="C7" s="86" t="s">
        <v>410</v>
      </c>
      <c r="D7" s="79"/>
      <c r="E7" s="79"/>
      <c r="F7" s="53"/>
      <c r="I7" s="79"/>
      <c r="J7" s="79"/>
      <c r="K7" s="79"/>
      <c r="L7" s="79"/>
      <c r="M7" s="79"/>
      <c r="N7" s="79"/>
      <c r="O7" s="86" t="s">
        <v>447</v>
      </c>
      <c r="P7" s="109" t="s">
        <v>249</v>
      </c>
      <c r="Q7" s="110" t="s">
        <v>249</v>
      </c>
    </row>
    <row r="8" spans="1:17" ht="37.5" customHeight="1" x14ac:dyDescent="0.3">
      <c r="A8" s="79"/>
      <c r="B8" s="87" t="s">
        <v>224</v>
      </c>
      <c r="C8" s="86" t="s">
        <v>411</v>
      </c>
      <c r="D8" s="79"/>
      <c r="E8" s="79"/>
      <c r="F8" s="53"/>
      <c r="I8" s="79"/>
      <c r="J8" s="79"/>
      <c r="K8" s="79"/>
      <c r="L8" s="79"/>
      <c r="M8" s="79"/>
      <c r="N8" s="79"/>
      <c r="O8" s="86" t="s">
        <v>448</v>
      </c>
      <c r="P8" s="109" t="s">
        <v>250</v>
      </c>
      <c r="Q8" s="110" t="s">
        <v>250</v>
      </c>
    </row>
    <row r="9" spans="1:17" ht="37.5" customHeight="1" x14ac:dyDescent="0.3">
      <c r="A9" s="79"/>
      <c r="B9" s="87" t="s">
        <v>221</v>
      </c>
      <c r="C9" s="86" t="s">
        <v>412</v>
      </c>
      <c r="D9" s="79"/>
      <c r="E9" s="79"/>
      <c r="F9" s="53"/>
      <c r="I9" s="79"/>
      <c r="J9" s="79"/>
      <c r="K9" s="79"/>
      <c r="L9" s="79"/>
      <c r="M9" s="79"/>
      <c r="N9" s="79"/>
      <c r="O9" s="86" t="s">
        <v>449</v>
      </c>
      <c r="P9" s="109" t="s">
        <v>251</v>
      </c>
      <c r="Q9" s="110" t="s">
        <v>251</v>
      </c>
    </row>
    <row r="10" spans="1:17" ht="37.5" customHeight="1" x14ac:dyDescent="0.3">
      <c r="A10" s="79"/>
      <c r="B10" s="87" t="s">
        <v>222</v>
      </c>
      <c r="C10" s="86" t="s">
        <v>413</v>
      </c>
      <c r="D10" s="79"/>
      <c r="E10" s="79"/>
      <c r="F10" s="53"/>
      <c r="I10" s="79"/>
      <c r="J10" s="79"/>
      <c r="K10" s="79"/>
      <c r="L10" s="79"/>
      <c r="M10" s="79"/>
      <c r="N10" s="79"/>
      <c r="O10" s="86" t="s">
        <v>450</v>
      </c>
      <c r="P10" s="109" t="s">
        <v>252</v>
      </c>
      <c r="Q10" s="110" t="s">
        <v>252</v>
      </c>
    </row>
    <row r="11" spans="1:17" ht="37.5" customHeight="1" x14ac:dyDescent="0.3">
      <c r="A11" s="79"/>
      <c r="B11" s="87" t="s">
        <v>403</v>
      </c>
      <c r="C11" s="86" t="s">
        <v>416</v>
      </c>
      <c r="D11" s="79"/>
      <c r="E11" s="79"/>
      <c r="F11" s="53"/>
      <c r="I11" s="79"/>
      <c r="J11" s="79"/>
      <c r="K11" s="79"/>
      <c r="L11" s="79"/>
      <c r="M11" s="79"/>
      <c r="N11" s="79"/>
      <c r="O11" s="86" t="s">
        <v>451</v>
      </c>
      <c r="P11" s="109" t="s">
        <v>253</v>
      </c>
      <c r="Q11" s="110" t="s">
        <v>253</v>
      </c>
    </row>
    <row r="12" spans="1:17" ht="37.5" customHeight="1" x14ac:dyDescent="0.3">
      <c r="A12" s="79"/>
      <c r="B12" s="87" t="s">
        <v>404</v>
      </c>
      <c r="C12" s="86" t="s">
        <v>414</v>
      </c>
      <c r="D12" s="79"/>
      <c r="E12" s="79"/>
      <c r="F12" s="53"/>
      <c r="I12" s="79"/>
      <c r="J12" s="79"/>
      <c r="K12" s="79"/>
      <c r="L12" s="79"/>
      <c r="M12" s="79"/>
      <c r="N12" s="79"/>
      <c r="O12" s="86" t="s">
        <v>452</v>
      </c>
      <c r="P12" s="109" t="s">
        <v>254</v>
      </c>
      <c r="Q12" s="110" t="s">
        <v>254</v>
      </c>
    </row>
    <row r="13" spans="1:17" ht="37.5" customHeight="1" x14ac:dyDescent="0.3">
      <c r="B13" s="87" t="s">
        <v>405</v>
      </c>
      <c r="C13" s="86" t="s">
        <v>415</v>
      </c>
      <c r="F13" s="53"/>
      <c r="L13" s="87"/>
      <c r="P13" s="109" t="s">
        <v>255</v>
      </c>
      <c r="Q13" s="110" t="s">
        <v>255</v>
      </c>
    </row>
    <row r="14" spans="1:17" ht="33.75" customHeight="1" x14ac:dyDescent="0.3">
      <c r="B14" s="87"/>
      <c r="F14" s="53"/>
      <c r="M14" s="87"/>
      <c r="P14" s="109" t="s">
        <v>256</v>
      </c>
      <c r="Q14" s="110" t="s">
        <v>256</v>
      </c>
    </row>
    <row r="15" spans="1:17" x14ac:dyDescent="0.3">
      <c r="B15" s="87"/>
      <c r="M15" s="87"/>
      <c r="P15" s="109" t="s">
        <v>257</v>
      </c>
      <c r="Q15" s="110" t="s">
        <v>257</v>
      </c>
    </row>
    <row r="16" spans="1:17" ht="20.399999999999999" x14ac:dyDescent="0.3">
      <c r="A16" s="131"/>
      <c r="B16" s="132"/>
      <c r="C16" s="133"/>
      <c r="D16" s="134"/>
      <c r="E16" s="120"/>
      <c r="F16" s="121"/>
      <c r="G16" s="120"/>
      <c r="H16" s="120"/>
      <c r="M16" s="87"/>
      <c r="P16" s="109" t="s">
        <v>258</v>
      </c>
      <c r="Q16" s="110" t="s">
        <v>258</v>
      </c>
    </row>
    <row r="17" spans="1:17" ht="20.399999999999999" x14ac:dyDescent="0.3">
      <c r="A17" s="131"/>
      <c r="B17" s="135"/>
      <c r="C17" s="133"/>
      <c r="D17" s="134"/>
      <c r="E17" s="120"/>
      <c r="F17" s="121"/>
      <c r="G17" s="120"/>
      <c r="H17" s="120"/>
      <c r="M17" s="87"/>
      <c r="P17" s="109" t="s">
        <v>259</v>
      </c>
      <c r="Q17" s="110" t="s">
        <v>259</v>
      </c>
    </row>
    <row r="18" spans="1:17" ht="20.399999999999999" x14ac:dyDescent="0.3">
      <c r="A18" s="131"/>
      <c r="B18" s="135"/>
      <c r="C18" s="135"/>
      <c r="D18" s="134"/>
      <c r="E18" s="120"/>
      <c r="F18" s="122"/>
      <c r="G18" s="120"/>
      <c r="H18" s="120"/>
      <c r="M18" s="87"/>
      <c r="P18" s="109" t="s">
        <v>260</v>
      </c>
      <c r="Q18" s="110" t="s">
        <v>260</v>
      </c>
    </row>
    <row r="19" spans="1:17" ht="20.399999999999999" x14ac:dyDescent="0.3">
      <c r="A19" s="131"/>
      <c r="B19" s="135"/>
      <c r="C19" s="135"/>
      <c r="D19" s="134"/>
      <c r="E19" s="120"/>
      <c r="F19" s="122"/>
      <c r="G19" s="120"/>
      <c r="H19" s="120"/>
      <c r="M19" s="87"/>
      <c r="P19" s="109" t="s">
        <v>261</v>
      </c>
      <c r="Q19" s="110" t="s">
        <v>261</v>
      </c>
    </row>
    <row r="20" spans="1:17" ht="20.399999999999999" x14ac:dyDescent="0.3">
      <c r="A20" s="131"/>
      <c r="B20" s="135"/>
      <c r="C20" s="135"/>
      <c r="D20" s="134"/>
      <c r="E20" s="120"/>
      <c r="F20" s="122"/>
      <c r="G20" s="120"/>
      <c r="H20" s="120"/>
      <c r="M20" s="87"/>
      <c r="P20" s="109" t="s">
        <v>262</v>
      </c>
      <c r="Q20" s="110" t="s">
        <v>262</v>
      </c>
    </row>
    <row r="21" spans="1:17" ht="20.399999999999999" x14ac:dyDescent="0.3">
      <c r="A21" s="131"/>
      <c r="B21" s="135"/>
      <c r="C21" s="133"/>
      <c r="D21" s="134"/>
      <c r="E21" s="120"/>
      <c r="F21" s="121"/>
      <c r="G21" s="120"/>
      <c r="H21" s="120"/>
      <c r="M21" s="87"/>
      <c r="P21" s="109" t="s">
        <v>263</v>
      </c>
      <c r="Q21" s="110" t="s">
        <v>263</v>
      </c>
    </row>
    <row r="22" spans="1:17" ht="20.399999999999999" x14ac:dyDescent="0.3">
      <c r="A22" s="137"/>
      <c r="B22" s="135"/>
      <c r="M22" s="87"/>
      <c r="P22" s="109" t="s">
        <v>264</v>
      </c>
      <c r="Q22" s="110" t="s">
        <v>264</v>
      </c>
    </row>
    <row r="23" spans="1:17" ht="20.399999999999999" x14ac:dyDescent="0.3">
      <c r="A23" s="137"/>
      <c r="B23" s="135"/>
      <c r="M23" s="87"/>
      <c r="P23" s="109" t="s">
        <v>265</v>
      </c>
      <c r="Q23" s="110" t="s">
        <v>265</v>
      </c>
    </row>
    <row r="24" spans="1:17" x14ac:dyDescent="0.3">
      <c r="M24" s="87"/>
      <c r="P24" s="109" t="s">
        <v>266</v>
      </c>
      <c r="Q24" s="110" t="s">
        <v>266</v>
      </c>
    </row>
    <row r="25" spans="1:17" ht="20.399999999999999" x14ac:dyDescent="0.3">
      <c r="A25" s="131"/>
      <c r="B25" s="135"/>
      <c r="C25" s="133"/>
      <c r="D25" s="134"/>
      <c r="E25" s="120"/>
      <c r="F25" s="121"/>
      <c r="G25" s="120"/>
      <c r="H25" s="120"/>
      <c r="M25" s="79"/>
      <c r="P25" s="109" t="s">
        <v>267</v>
      </c>
      <c r="Q25" s="110" t="s">
        <v>267</v>
      </c>
    </row>
    <row r="26" spans="1:17" ht="20.399999999999999" x14ac:dyDescent="0.3">
      <c r="A26" s="131"/>
      <c r="B26" s="135"/>
      <c r="C26" s="133"/>
      <c r="D26" s="134"/>
      <c r="E26" s="120"/>
      <c r="F26" s="121"/>
      <c r="G26" s="120"/>
      <c r="H26" s="120"/>
      <c r="M26" s="79"/>
      <c r="P26" s="109" t="s">
        <v>268</v>
      </c>
      <c r="Q26" s="110" t="s">
        <v>268</v>
      </c>
    </row>
    <row r="27" spans="1:17" ht="20.399999999999999" x14ac:dyDescent="0.3">
      <c r="A27" s="131"/>
      <c r="B27" s="135"/>
      <c r="C27" s="133"/>
      <c r="D27" s="134"/>
      <c r="E27" s="120"/>
      <c r="F27" s="121"/>
      <c r="G27" s="120"/>
      <c r="H27" s="120"/>
      <c r="M27" s="79"/>
      <c r="P27" s="109" t="s">
        <v>269</v>
      </c>
      <c r="Q27" s="110" t="s">
        <v>269</v>
      </c>
    </row>
    <row r="28" spans="1:17" ht="20.399999999999999" x14ac:dyDescent="0.3">
      <c r="A28" s="131"/>
      <c r="B28" s="135"/>
      <c r="C28" s="135"/>
      <c r="D28" s="134"/>
      <c r="E28" s="120"/>
      <c r="F28" s="121"/>
      <c r="G28" s="120"/>
      <c r="H28" s="120"/>
      <c r="M28" s="79"/>
      <c r="P28" s="109" t="s">
        <v>270</v>
      </c>
      <c r="Q28" s="110" t="s">
        <v>270</v>
      </c>
    </row>
    <row r="29" spans="1:17" ht="20.399999999999999" x14ac:dyDescent="0.3">
      <c r="A29" s="131"/>
      <c r="B29" s="133"/>
      <c r="C29" s="135"/>
      <c r="D29" s="134"/>
      <c r="E29" s="120"/>
      <c r="F29" s="121"/>
      <c r="G29" s="120"/>
      <c r="H29" s="120"/>
      <c r="M29" s="79"/>
      <c r="P29" s="109" t="s">
        <v>271</v>
      </c>
      <c r="Q29" s="110" t="s">
        <v>271</v>
      </c>
    </row>
    <row r="30" spans="1:17" ht="20.399999999999999" x14ac:dyDescent="0.3">
      <c r="A30" s="131"/>
      <c r="B30" s="133"/>
      <c r="C30" s="135"/>
      <c r="D30" s="134"/>
      <c r="E30" s="120"/>
      <c r="F30" s="123"/>
      <c r="G30" s="58"/>
      <c r="H30" s="120"/>
      <c r="M30" s="79"/>
      <c r="P30" s="109" t="s">
        <v>272</v>
      </c>
      <c r="Q30" s="110" t="s">
        <v>272</v>
      </c>
    </row>
    <row r="31" spans="1:17" ht="20.399999999999999" x14ac:dyDescent="0.3">
      <c r="A31" s="131"/>
      <c r="B31" s="135"/>
      <c r="C31" s="135"/>
      <c r="D31" s="134"/>
      <c r="E31" s="120"/>
      <c r="F31" s="123"/>
      <c r="G31" s="58"/>
      <c r="H31" s="120"/>
      <c r="M31" s="79"/>
      <c r="P31" s="109" t="s">
        <v>273</v>
      </c>
      <c r="Q31" s="110" t="s">
        <v>273</v>
      </c>
    </row>
    <row r="32" spans="1:17" ht="20.399999999999999" x14ac:dyDescent="0.3">
      <c r="A32" s="131"/>
      <c r="B32" s="135"/>
      <c r="C32" s="135"/>
      <c r="D32" s="134"/>
      <c r="E32" s="120"/>
      <c r="F32" s="123"/>
      <c r="H32" s="120"/>
      <c r="M32" s="79"/>
      <c r="P32" s="109" t="s">
        <v>274</v>
      </c>
      <c r="Q32" s="110" t="s">
        <v>274</v>
      </c>
    </row>
    <row r="33" spans="1:17" ht="20.399999999999999" x14ac:dyDescent="0.3">
      <c r="A33" s="134"/>
      <c r="B33" s="135"/>
      <c r="C33" s="135"/>
      <c r="D33" s="134"/>
      <c r="E33" s="120"/>
      <c r="F33" s="123"/>
      <c r="H33" s="120"/>
      <c r="M33" s="79"/>
      <c r="P33" s="109" t="s">
        <v>275</v>
      </c>
      <c r="Q33" s="110" t="s">
        <v>275</v>
      </c>
    </row>
    <row r="34" spans="1:17" ht="13.8" x14ac:dyDescent="0.3">
      <c r="A34" s="120"/>
      <c r="B34" s="120"/>
      <c r="C34" s="120"/>
      <c r="D34" s="120"/>
      <c r="E34" s="120"/>
      <c r="F34" s="121"/>
      <c r="G34" s="120"/>
      <c r="H34" s="120"/>
      <c r="M34" s="79"/>
      <c r="P34" s="109" t="s">
        <v>276</v>
      </c>
      <c r="Q34" s="110" t="s">
        <v>276</v>
      </c>
    </row>
    <row r="35" spans="1:17" ht="13.8" x14ac:dyDescent="0.3">
      <c r="A35" s="120"/>
      <c r="B35" s="120"/>
      <c r="C35" s="120"/>
      <c r="D35" s="120"/>
      <c r="E35" s="120"/>
      <c r="F35" s="121"/>
      <c r="G35" s="120"/>
      <c r="H35" s="120"/>
      <c r="P35" s="109" t="s">
        <v>277</v>
      </c>
      <c r="Q35" s="110" t="s">
        <v>277</v>
      </c>
    </row>
    <row r="36" spans="1:17" ht="13.8" x14ac:dyDescent="0.3">
      <c r="A36" s="120"/>
      <c r="B36" s="120"/>
      <c r="C36" s="120"/>
      <c r="D36" s="120"/>
      <c r="E36" s="120"/>
      <c r="F36" s="121"/>
      <c r="G36" s="120"/>
      <c r="H36" s="120"/>
      <c r="P36" s="109" t="s">
        <v>278</v>
      </c>
      <c r="Q36" s="110" t="s">
        <v>278</v>
      </c>
    </row>
    <row r="37" spans="1:17" ht="13.8" x14ac:dyDescent="0.3">
      <c r="A37" s="120"/>
      <c r="B37" s="120"/>
      <c r="C37" s="120"/>
      <c r="D37" s="120"/>
      <c r="E37" s="120"/>
      <c r="F37" s="121"/>
      <c r="G37" s="120"/>
      <c r="H37" s="120"/>
      <c r="P37" s="109" t="s">
        <v>279</v>
      </c>
      <c r="Q37" s="110" t="s">
        <v>279</v>
      </c>
    </row>
    <row r="38" spans="1:17" ht="13.8" x14ac:dyDescent="0.3">
      <c r="A38" s="120"/>
      <c r="B38" s="120"/>
      <c r="C38" s="120"/>
      <c r="D38" s="120"/>
      <c r="E38" s="120"/>
      <c r="F38" s="121"/>
      <c r="G38" s="120"/>
      <c r="H38" s="120"/>
      <c r="P38" s="109" t="s">
        <v>280</v>
      </c>
      <c r="Q38" s="110" t="s">
        <v>280</v>
      </c>
    </row>
    <row r="39" spans="1:17" ht="13.8" x14ac:dyDescent="0.3">
      <c r="A39" s="120"/>
      <c r="B39" s="120"/>
      <c r="C39" s="120"/>
      <c r="D39" s="120"/>
      <c r="E39" s="120"/>
      <c r="F39" s="121"/>
      <c r="G39" s="120"/>
      <c r="H39" s="120"/>
      <c r="P39" s="109" t="s">
        <v>281</v>
      </c>
      <c r="Q39" s="110" t="s">
        <v>281</v>
      </c>
    </row>
    <row r="40" spans="1:17" ht="13.8" x14ac:dyDescent="0.3">
      <c r="A40" s="120"/>
      <c r="B40" s="120"/>
      <c r="C40" s="120"/>
      <c r="D40" s="120"/>
      <c r="E40" s="120"/>
      <c r="F40" s="121"/>
      <c r="G40" s="120"/>
      <c r="H40" s="120"/>
      <c r="P40" s="109" t="s">
        <v>282</v>
      </c>
      <c r="Q40" s="110" t="s">
        <v>282</v>
      </c>
    </row>
    <row r="41" spans="1:17" ht="13.8" x14ac:dyDescent="0.3">
      <c r="A41" s="120"/>
      <c r="B41" s="120"/>
      <c r="C41" s="120"/>
      <c r="D41" s="120"/>
      <c r="E41" s="120"/>
      <c r="F41" s="121"/>
      <c r="G41" s="120"/>
      <c r="H41" s="120"/>
      <c r="P41" s="109" t="s">
        <v>283</v>
      </c>
      <c r="Q41" s="110" t="s">
        <v>283</v>
      </c>
    </row>
    <row r="42" spans="1:17" ht="13.8" x14ac:dyDescent="0.3">
      <c r="A42" s="120"/>
      <c r="B42" s="120"/>
      <c r="C42" s="120"/>
      <c r="D42" s="120"/>
      <c r="E42" s="120"/>
      <c r="F42" s="121"/>
      <c r="G42" s="120"/>
      <c r="H42" s="120"/>
      <c r="P42" s="109" t="s">
        <v>284</v>
      </c>
      <c r="Q42" s="110" t="s">
        <v>284</v>
      </c>
    </row>
    <row r="43" spans="1:17" ht="13.8" x14ac:dyDescent="0.3">
      <c r="A43" s="120"/>
      <c r="B43" s="120"/>
      <c r="C43" s="120"/>
      <c r="D43" s="120"/>
      <c r="E43" s="120"/>
      <c r="F43" s="121"/>
      <c r="G43" s="120"/>
      <c r="H43" s="120"/>
      <c r="P43" s="109" t="s">
        <v>285</v>
      </c>
      <c r="Q43" s="110" t="s">
        <v>285</v>
      </c>
    </row>
    <row r="44" spans="1:17" ht="13.8" x14ac:dyDescent="0.3">
      <c r="A44" s="120"/>
      <c r="B44" s="120"/>
      <c r="C44" s="120"/>
      <c r="D44" s="120"/>
      <c r="E44" s="120"/>
      <c r="F44" s="121"/>
      <c r="G44" s="120"/>
      <c r="H44" s="120"/>
      <c r="P44" s="109" t="s">
        <v>323</v>
      </c>
      <c r="Q44" s="110" t="s">
        <v>286</v>
      </c>
    </row>
    <row r="45" spans="1:17" ht="13.8" x14ac:dyDescent="0.3">
      <c r="A45" s="120"/>
      <c r="B45" s="120"/>
      <c r="C45" s="120"/>
      <c r="D45" s="120"/>
      <c r="E45" s="120"/>
      <c r="F45" s="121"/>
      <c r="G45" s="120"/>
      <c r="H45" s="120"/>
      <c r="P45" s="109" t="s">
        <v>197</v>
      </c>
      <c r="Q45" s="110" t="s">
        <v>454</v>
      </c>
    </row>
    <row r="46" spans="1:17" ht="13.8" x14ac:dyDescent="0.3">
      <c r="A46" s="120"/>
      <c r="B46" s="120"/>
      <c r="C46" s="120"/>
      <c r="D46" s="120"/>
      <c r="E46" s="120"/>
      <c r="F46" s="121"/>
      <c r="G46" s="120"/>
      <c r="H46" s="120"/>
      <c r="Q46" s="110" t="s">
        <v>455</v>
      </c>
    </row>
    <row r="47" spans="1:17" ht="13.8" x14ac:dyDescent="0.3">
      <c r="A47" s="120"/>
      <c r="B47" s="120"/>
      <c r="C47" s="120"/>
      <c r="D47" s="120"/>
      <c r="E47" s="120"/>
      <c r="F47" s="121"/>
      <c r="G47" s="120"/>
      <c r="H47" s="120"/>
      <c r="Q47" s="110" t="s">
        <v>456</v>
      </c>
    </row>
    <row r="48" spans="1:17" x14ac:dyDescent="0.3">
      <c r="Q48" s="110" t="s">
        <v>457</v>
      </c>
    </row>
    <row r="49" spans="17:17" x14ac:dyDescent="0.3">
      <c r="Q49" s="110" t="s">
        <v>458</v>
      </c>
    </row>
    <row r="50" spans="17:17" x14ac:dyDescent="0.3">
      <c r="Q50" s="110" t="s">
        <v>459</v>
      </c>
    </row>
    <row r="51" spans="17:17" x14ac:dyDescent="0.3">
      <c r="Q51" s="110" t="s">
        <v>460</v>
      </c>
    </row>
    <row r="52" spans="17:17" x14ac:dyDescent="0.3">
      <c r="Q52" s="110" t="s">
        <v>461</v>
      </c>
    </row>
    <row r="53" spans="17:17" x14ac:dyDescent="0.3">
      <c r="Q53" s="110" t="s">
        <v>462</v>
      </c>
    </row>
    <row r="54" spans="17:17" x14ac:dyDescent="0.3">
      <c r="Q54" s="110" t="s">
        <v>463</v>
      </c>
    </row>
    <row r="55" spans="17:17" x14ac:dyDescent="0.3">
      <c r="Q55" s="110" t="s">
        <v>464</v>
      </c>
    </row>
    <row r="56" spans="17:17" x14ac:dyDescent="0.3">
      <c r="Q56" s="110" t="s">
        <v>465</v>
      </c>
    </row>
    <row r="57" spans="17:17" x14ac:dyDescent="0.3">
      <c r="Q57" s="110" t="s">
        <v>466</v>
      </c>
    </row>
    <row r="58" spans="17:17" x14ac:dyDescent="0.3">
      <c r="Q58" s="110" t="s">
        <v>467</v>
      </c>
    </row>
    <row r="59" spans="17:17" x14ac:dyDescent="0.3">
      <c r="Q59" s="110" t="s">
        <v>468</v>
      </c>
    </row>
    <row r="60" spans="17:17" x14ac:dyDescent="0.3">
      <c r="Q60" s="110" t="s">
        <v>469</v>
      </c>
    </row>
    <row r="61" spans="17:17" x14ac:dyDescent="0.3">
      <c r="Q61" s="110" t="s">
        <v>470</v>
      </c>
    </row>
    <row r="62" spans="17:17" x14ac:dyDescent="0.3">
      <c r="Q62" s="110" t="s">
        <v>471</v>
      </c>
    </row>
    <row r="63" spans="17:17" x14ac:dyDescent="0.3">
      <c r="Q63" s="110" t="s">
        <v>472</v>
      </c>
    </row>
    <row r="64" spans="17:17" x14ac:dyDescent="0.3">
      <c r="Q64" s="110" t="s">
        <v>473</v>
      </c>
    </row>
    <row r="65" spans="17:17" x14ac:dyDescent="0.3">
      <c r="Q65" s="110" t="s">
        <v>474</v>
      </c>
    </row>
    <row r="66" spans="17:17" x14ac:dyDescent="0.3">
      <c r="Q66" s="110" t="s">
        <v>475</v>
      </c>
    </row>
    <row r="67" spans="17:17" x14ac:dyDescent="0.3">
      <c r="Q67" s="110" t="s">
        <v>476</v>
      </c>
    </row>
    <row r="68" spans="17:17" x14ac:dyDescent="0.3">
      <c r="Q68" s="110" t="s">
        <v>477</v>
      </c>
    </row>
    <row r="69" spans="17:17" x14ac:dyDescent="0.3">
      <c r="Q69" s="110" t="s">
        <v>478</v>
      </c>
    </row>
    <row r="70" spans="17:17" x14ac:dyDescent="0.3">
      <c r="Q70" s="110" t="s">
        <v>479</v>
      </c>
    </row>
    <row r="71" spans="17:17" x14ac:dyDescent="0.3">
      <c r="Q71" s="110" t="s">
        <v>480</v>
      </c>
    </row>
    <row r="72" spans="17:17" x14ac:dyDescent="0.3">
      <c r="Q72" s="110" t="s">
        <v>481</v>
      </c>
    </row>
    <row r="73" spans="17:17" x14ac:dyDescent="0.3">
      <c r="Q73" s="110" t="s">
        <v>482</v>
      </c>
    </row>
    <row r="74" spans="17:17" x14ac:dyDescent="0.3">
      <c r="Q74" s="110" t="s">
        <v>483</v>
      </c>
    </row>
    <row r="75" spans="17:17" x14ac:dyDescent="0.3">
      <c r="Q75" s="110" t="s">
        <v>484</v>
      </c>
    </row>
    <row r="76" spans="17:17" x14ac:dyDescent="0.3">
      <c r="Q76" s="110" t="s">
        <v>485</v>
      </c>
    </row>
    <row r="77" spans="17:17" x14ac:dyDescent="0.3">
      <c r="Q77" s="110" t="s">
        <v>486</v>
      </c>
    </row>
    <row r="78" spans="17:17" x14ac:dyDescent="0.3">
      <c r="Q78" s="110" t="s">
        <v>487</v>
      </c>
    </row>
    <row r="79" spans="17:17" x14ac:dyDescent="0.3">
      <c r="Q79" s="110" t="s">
        <v>488</v>
      </c>
    </row>
    <row r="80" spans="17:17" x14ac:dyDescent="0.3">
      <c r="Q80" s="110" t="s">
        <v>489</v>
      </c>
    </row>
    <row r="81" spans="17:17" x14ac:dyDescent="0.3">
      <c r="Q81" s="110" t="s">
        <v>490</v>
      </c>
    </row>
    <row r="82" spans="17:17" x14ac:dyDescent="0.3">
      <c r="Q82" s="110" t="s">
        <v>491</v>
      </c>
    </row>
    <row r="83" spans="17:17" x14ac:dyDescent="0.3">
      <c r="Q83" s="110" t="s">
        <v>492</v>
      </c>
    </row>
    <row r="84" spans="17:17" x14ac:dyDescent="0.3">
      <c r="Q84" s="110" t="s">
        <v>493</v>
      </c>
    </row>
    <row r="85" spans="17:17" x14ac:dyDescent="0.3">
      <c r="Q85" s="110" t="s">
        <v>494</v>
      </c>
    </row>
    <row r="86" spans="17:17" x14ac:dyDescent="0.3">
      <c r="Q86" s="110" t="s">
        <v>495</v>
      </c>
    </row>
    <row r="87" spans="17:17" x14ac:dyDescent="0.3">
      <c r="Q87" s="110" t="s">
        <v>496</v>
      </c>
    </row>
    <row r="88" spans="17:17" x14ac:dyDescent="0.3">
      <c r="Q88" s="110" t="s">
        <v>497</v>
      </c>
    </row>
    <row r="89" spans="17:17" x14ac:dyDescent="0.3">
      <c r="Q89" s="110" t="s">
        <v>498</v>
      </c>
    </row>
    <row r="90" spans="17:17" x14ac:dyDescent="0.3">
      <c r="Q90" s="110" t="s">
        <v>499</v>
      </c>
    </row>
    <row r="91" spans="17:17" x14ac:dyDescent="0.3">
      <c r="Q91" s="110" t="s">
        <v>500</v>
      </c>
    </row>
    <row r="92" spans="17:17" x14ac:dyDescent="0.3">
      <c r="Q92" s="110" t="s">
        <v>501</v>
      </c>
    </row>
    <row r="93" spans="17:17" x14ac:dyDescent="0.3">
      <c r="Q93" s="110" t="s">
        <v>502</v>
      </c>
    </row>
    <row r="94" spans="17:17" x14ac:dyDescent="0.3">
      <c r="Q94" s="110" t="s">
        <v>503</v>
      </c>
    </row>
    <row r="95" spans="17:17" x14ac:dyDescent="0.3">
      <c r="Q95" s="110" t="s">
        <v>504</v>
      </c>
    </row>
    <row r="96" spans="17:17" x14ac:dyDescent="0.3">
      <c r="Q96" s="110" t="s">
        <v>505</v>
      </c>
    </row>
    <row r="97" spans="17:17" x14ac:dyDescent="0.3">
      <c r="Q97" s="110" t="s">
        <v>506</v>
      </c>
    </row>
    <row r="98" spans="17:17" x14ac:dyDescent="0.3">
      <c r="Q98" s="110" t="s">
        <v>507</v>
      </c>
    </row>
    <row r="99" spans="17:17" x14ac:dyDescent="0.3">
      <c r="Q99" s="110" t="s">
        <v>508</v>
      </c>
    </row>
    <row r="100" spans="17:17" x14ac:dyDescent="0.3">
      <c r="Q100" s="110" t="s">
        <v>509</v>
      </c>
    </row>
    <row r="101" spans="17:17" x14ac:dyDescent="0.3">
      <c r="Q101" s="110" t="s">
        <v>510</v>
      </c>
    </row>
    <row r="102" spans="17:17" x14ac:dyDescent="0.3">
      <c r="Q102" s="110" t="s">
        <v>511</v>
      </c>
    </row>
    <row r="103" spans="17:17" x14ac:dyDescent="0.3">
      <c r="Q103" s="110" t="s">
        <v>512</v>
      </c>
    </row>
    <row r="104" spans="17:17" x14ac:dyDescent="0.3">
      <c r="Q104" s="110" t="s">
        <v>323</v>
      </c>
    </row>
    <row r="105" spans="17:17" x14ac:dyDescent="0.3">
      <c r="Q105" s="110" t="s">
        <v>197</v>
      </c>
    </row>
    <row r="106" spans="17:17" x14ac:dyDescent="0.3"/>
  </sheetData>
  <customSheetViews>
    <customSheetView guid="{43331C61-E5DE-4680-8381-52BB1541163B}">
      <selection activeCell="J29" sqref="J29"/>
      <pageMargins left="0.7" right="0.7" top="0.75" bottom="0.75" header="0.3" footer="0.3"/>
    </customSheetView>
    <customSheetView guid="{05B837B4-FDDA-47B8-9D6D-B0632FFD6D77}" state="hidden">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defaultColWidth="8.88671875" defaultRowHeight="14.4" x14ac:dyDescent="0.3"/>
  <cols>
    <col min="1" max="1" width="41.5546875" bestFit="1" customWidth="1"/>
    <col min="4" max="4" width="9.6640625" customWidth="1"/>
    <col min="6" max="6" width="32.3320312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2" t="s">
        <v>516</v>
      </c>
      <c r="B9" s="213"/>
      <c r="C9" s="213"/>
      <c r="D9" s="214"/>
    </row>
    <row r="10" spans="1:4" x14ac:dyDescent="0.3">
      <c r="A10" s="215" t="s">
        <v>517</v>
      </c>
      <c r="B10" s="216"/>
      <c r="C10" s="216"/>
      <c r="D10" s="216"/>
    </row>
    <row r="11" spans="1:4" x14ac:dyDescent="0.3">
      <c r="A11" s="217" t="s">
        <v>1</v>
      </c>
      <c r="B11" s="9"/>
      <c r="C11" s="9"/>
      <c r="D11" s="9"/>
    </row>
    <row r="12" spans="1:4" x14ac:dyDescent="0.3">
      <c r="A12" s="217"/>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518</v>
      </c>
      <c r="B24" s="11"/>
      <c r="C24" s="11"/>
      <c r="D24" s="11"/>
    </row>
    <row r="25" spans="1:4" x14ac:dyDescent="0.3">
      <c r="A25" s="14" t="s">
        <v>519</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43331C61-E5DE-4680-8381-52BB1541163B}">
      <selection activeCell="F28" sqref="F28"/>
      <pageMargins left="0.7" right="0.7" top="0.75" bottom="0.75" header="0.3" footer="0.3"/>
    </customSheetView>
    <customSheetView guid="{05B837B4-FDDA-47B8-9D6D-B0632FFD6D77}" state="hidden">
      <selection activeCell="A31" sqref="A31:L32"/>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defaultColWidth="9.109375" defaultRowHeight="14.4" x14ac:dyDescent="0.3"/>
  <cols>
    <col min="1" max="1" width="9.6640625" style="1" customWidth="1"/>
    <col min="2" max="3" width="63.33203125" style="1" customWidth="1"/>
    <col min="4" max="4" width="44.44140625" style="1" customWidth="1"/>
    <col min="5" max="5" width="47.5546875" style="1" customWidth="1"/>
    <col min="6" max="6" width="11.109375" style="10" customWidth="1"/>
    <col min="7" max="7" width="8.109375" style="1" customWidth="1"/>
    <col min="8" max="8" width="7.5546875" style="1" bestFit="1" customWidth="1"/>
    <col min="9" max="11" width="10.886718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32</v>
      </c>
      <c r="C1" s="2" t="s">
        <v>33</v>
      </c>
      <c r="D1" s="2" t="s">
        <v>56</v>
      </c>
      <c r="E1" s="2" t="s">
        <v>57</v>
      </c>
      <c r="F1" s="252" t="s">
        <v>163</v>
      </c>
      <c r="G1" s="252"/>
      <c r="H1" s="252"/>
      <c r="I1" s="253" t="s">
        <v>164</v>
      </c>
      <c r="J1" s="253"/>
      <c r="K1" s="253"/>
      <c r="L1" s="254" t="s">
        <v>148</v>
      </c>
      <c r="M1" s="254"/>
      <c r="N1" s="254"/>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174</v>
      </c>
      <c r="C3" s="40" t="s">
        <v>35</v>
      </c>
      <c r="D3" s="40" t="s">
        <v>58</v>
      </c>
      <c r="E3" s="41" t="s">
        <v>162</v>
      </c>
      <c r="F3" s="258" t="s">
        <v>161</v>
      </c>
      <c r="G3" s="258"/>
      <c r="H3" s="258"/>
      <c r="I3" s="42">
        <f>'ADDITIONAL statistics for SDGs'!B9</f>
        <v>0</v>
      </c>
      <c r="J3" s="43" t="s">
        <v>18</v>
      </c>
      <c r="K3" s="43" t="s">
        <v>18</v>
      </c>
      <c r="L3" s="44" t="e">
        <f>20294/I3</f>
        <v>#DIV/0!</v>
      </c>
      <c r="M3" s="43" t="s">
        <v>18</v>
      </c>
      <c r="N3" s="43" t="s">
        <v>18</v>
      </c>
    </row>
    <row r="4" spans="1:14" ht="43.2" x14ac:dyDescent="0.3">
      <c r="A4" s="255" t="s">
        <v>172</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55"/>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55"/>
      <c r="B6" s="3" t="s">
        <v>175</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55"/>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55"/>
      <c r="B8" s="3" t="s">
        <v>176</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55"/>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55"/>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55"/>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56"/>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55" t="s">
        <v>173</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55"/>
      <c r="B15" s="6" t="s">
        <v>166</v>
      </c>
      <c r="C15" s="6" t="s">
        <v>78</v>
      </c>
      <c r="D15" s="6" t="s">
        <v>79</v>
      </c>
      <c r="E15" s="6" t="s">
        <v>169</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55"/>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55"/>
      <c r="B17" s="6" t="s">
        <v>167</v>
      </c>
      <c r="C17" s="6" t="s">
        <v>83</v>
      </c>
      <c r="D17" s="6" t="s">
        <v>84</v>
      </c>
      <c r="E17" s="5" t="s">
        <v>168</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55"/>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55"/>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55"/>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55"/>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55"/>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55"/>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55"/>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55"/>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55"/>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55"/>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56"/>
      <c r="B28" s="49" t="s">
        <v>170</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55" t="s">
        <v>118</v>
      </c>
      <c r="B30" s="6" t="s">
        <v>119</v>
      </c>
      <c r="C30" s="257" t="s">
        <v>120</v>
      </c>
      <c r="D30" s="6"/>
      <c r="E30" s="6"/>
      <c r="F30" s="31"/>
      <c r="G30" s="33"/>
      <c r="H30" s="33"/>
      <c r="I30" s="31"/>
      <c r="J30" s="31"/>
      <c r="K30" s="31"/>
      <c r="L30" s="34"/>
      <c r="M30" s="34"/>
      <c r="N30" s="34"/>
    </row>
    <row r="31" spans="1:14" x14ac:dyDescent="0.3">
      <c r="A31" s="255"/>
      <c r="B31" s="7" t="s">
        <v>3</v>
      </c>
      <c r="C31" s="257"/>
      <c r="D31" s="6" t="s">
        <v>121</v>
      </c>
      <c r="E31" s="6" t="s">
        <v>122</v>
      </c>
      <c r="F31" s="31"/>
      <c r="G31" s="31"/>
      <c r="H31" s="31"/>
      <c r="I31" s="31">
        <f>'ADDITIONAL statistics for SDGs'!$B$31</f>
        <v>0</v>
      </c>
      <c r="J31" s="31"/>
      <c r="K31" s="31"/>
      <c r="L31" s="34" t="e">
        <f t="shared" ref="L31:L39" si="4">F31/I31</f>
        <v>#DIV/0!</v>
      </c>
      <c r="M31" s="31"/>
      <c r="N31" s="31"/>
    </row>
    <row r="32" spans="1:14" x14ac:dyDescent="0.3">
      <c r="A32" s="255"/>
      <c r="B32" s="7" t="s">
        <v>4</v>
      </c>
      <c r="C32" s="257"/>
      <c r="D32" s="6" t="s">
        <v>123</v>
      </c>
      <c r="E32" s="6" t="s">
        <v>122</v>
      </c>
      <c r="F32" s="31"/>
      <c r="G32" s="31"/>
      <c r="H32" s="31"/>
      <c r="I32" s="31">
        <f>'ADDITIONAL statistics for SDGs'!$B$31</f>
        <v>0</v>
      </c>
      <c r="J32" s="31"/>
      <c r="K32" s="31"/>
      <c r="L32" s="34" t="e">
        <f t="shared" si="4"/>
        <v>#DIV/0!</v>
      </c>
      <c r="M32" s="31"/>
      <c r="N32" s="31"/>
    </row>
    <row r="33" spans="1:14" x14ac:dyDescent="0.3">
      <c r="A33" s="255"/>
      <c r="B33" s="7" t="s">
        <v>11</v>
      </c>
      <c r="C33" s="257"/>
      <c r="D33" s="6" t="s">
        <v>124</v>
      </c>
      <c r="E33" s="6" t="s">
        <v>122</v>
      </c>
      <c r="F33" s="31"/>
      <c r="G33" s="31"/>
      <c r="H33" s="31"/>
      <c r="I33" s="31">
        <f>'ADDITIONAL statistics for SDGs'!$B$31</f>
        <v>0</v>
      </c>
      <c r="J33" s="31"/>
      <c r="K33" s="31"/>
      <c r="L33" s="34" t="e">
        <f t="shared" si="4"/>
        <v>#DIV/0!</v>
      </c>
      <c r="M33" s="31"/>
      <c r="N33" s="31"/>
    </row>
    <row r="34" spans="1:14" x14ac:dyDescent="0.3">
      <c r="A34" s="255"/>
      <c r="B34" s="7" t="s">
        <v>5</v>
      </c>
      <c r="C34" s="257"/>
      <c r="D34" s="6" t="s">
        <v>125</v>
      </c>
      <c r="E34" s="6" t="s">
        <v>122</v>
      </c>
      <c r="F34" s="31"/>
      <c r="G34" s="31"/>
      <c r="H34" s="31"/>
      <c r="I34" s="31">
        <f>'ADDITIONAL statistics for SDGs'!$B$31</f>
        <v>0</v>
      </c>
      <c r="J34" s="31"/>
      <c r="K34" s="31"/>
      <c r="L34" s="34" t="e">
        <f t="shared" si="4"/>
        <v>#DIV/0!</v>
      </c>
      <c r="M34" s="31"/>
      <c r="N34" s="31"/>
    </row>
    <row r="35" spans="1:14" ht="28.8" x14ac:dyDescent="0.3">
      <c r="A35" s="255"/>
      <c r="B35" s="6" t="s">
        <v>126</v>
      </c>
      <c r="C35" s="259" t="s">
        <v>127</v>
      </c>
      <c r="D35" s="6"/>
      <c r="E35" s="6"/>
      <c r="F35" s="31"/>
      <c r="G35" s="31"/>
      <c r="H35" s="31"/>
      <c r="I35" s="31"/>
      <c r="J35" s="31"/>
      <c r="K35" s="31"/>
      <c r="L35" s="34"/>
      <c r="M35" s="31"/>
      <c r="N35" s="31"/>
    </row>
    <row r="36" spans="1:14" x14ac:dyDescent="0.3">
      <c r="A36" s="255"/>
      <c r="B36" s="7" t="s">
        <v>3</v>
      </c>
      <c r="C36" s="260"/>
      <c r="D36" s="6" t="s">
        <v>128</v>
      </c>
      <c r="E36" s="6" t="s">
        <v>129</v>
      </c>
      <c r="F36" s="31"/>
      <c r="G36" s="33"/>
      <c r="H36" s="33"/>
      <c r="I36" s="33">
        <f>'ADDITIONAL statistics for SDGs'!$B$30</f>
        <v>0</v>
      </c>
      <c r="J36" s="33"/>
      <c r="K36" s="33"/>
      <c r="L36" s="34" t="e">
        <f t="shared" si="4"/>
        <v>#DIV/0!</v>
      </c>
      <c r="M36" s="33"/>
      <c r="N36" s="33"/>
    </row>
    <row r="37" spans="1:14" x14ac:dyDescent="0.3">
      <c r="A37" s="255"/>
      <c r="B37" s="7" t="s">
        <v>4</v>
      </c>
      <c r="C37" s="260"/>
      <c r="D37" s="6" t="s">
        <v>130</v>
      </c>
      <c r="E37" s="6" t="s">
        <v>129</v>
      </c>
      <c r="F37" s="31"/>
      <c r="G37" s="33"/>
      <c r="H37" s="33"/>
      <c r="I37" s="33">
        <f>'ADDITIONAL statistics for SDGs'!B30</f>
        <v>0</v>
      </c>
      <c r="J37" s="33"/>
      <c r="K37" s="33"/>
      <c r="L37" s="34" t="e">
        <f t="shared" si="4"/>
        <v>#DIV/0!</v>
      </c>
      <c r="M37" s="33"/>
      <c r="N37" s="33"/>
    </row>
    <row r="38" spans="1:14" x14ac:dyDescent="0.3">
      <c r="A38" s="255"/>
      <c r="B38" s="7" t="s">
        <v>11</v>
      </c>
      <c r="C38" s="260"/>
      <c r="D38" s="6" t="s">
        <v>131</v>
      </c>
      <c r="E38" s="6" t="s">
        <v>129</v>
      </c>
      <c r="F38" s="31"/>
      <c r="G38" s="33"/>
      <c r="H38" s="33"/>
      <c r="I38" s="33">
        <f>'ADDITIONAL statistics for SDGs'!B30</f>
        <v>0</v>
      </c>
      <c r="J38" s="33"/>
      <c r="K38" s="33"/>
      <c r="L38" s="34" t="e">
        <f t="shared" si="4"/>
        <v>#DIV/0!</v>
      </c>
      <c r="M38" s="33"/>
      <c r="N38" s="33"/>
    </row>
    <row r="39" spans="1:14" x14ac:dyDescent="0.3">
      <c r="A39" s="255"/>
      <c r="B39" s="7" t="s">
        <v>5</v>
      </c>
      <c r="C39" s="260"/>
      <c r="D39" s="6" t="s">
        <v>132</v>
      </c>
      <c r="E39" s="6" t="s">
        <v>129</v>
      </c>
      <c r="F39" s="31"/>
      <c r="G39" s="33"/>
      <c r="H39" s="33"/>
      <c r="I39" s="33">
        <f>'ADDITIONAL statistics for SDGs'!B30</f>
        <v>0</v>
      </c>
      <c r="J39" s="33"/>
      <c r="K39" s="33"/>
      <c r="L39" s="34" t="e">
        <f t="shared" si="4"/>
        <v>#DIV/0!</v>
      </c>
      <c r="M39" s="33"/>
      <c r="N39" s="33"/>
    </row>
    <row r="40" spans="1:14" x14ac:dyDescent="0.3">
      <c r="A40" s="255"/>
      <c r="C40" s="261"/>
      <c r="D40" s="6"/>
      <c r="E40" s="6"/>
      <c r="F40" s="31"/>
      <c r="G40" s="33"/>
      <c r="H40" s="33"/>
      <c r="I40" s="33"/>
      <c r="J40" s="33"/>
      <c r="K40" s="33"/>
      <c r="L40" s="34"/>
      <c r="M40" s="33"/>
      <c r="N40" s="33"/>
    </row>
    <row r="41" spans="1:14" ht="28.8" x14ac:dyDescent="0.3">
      <c r="A41" s="255"/>
      <c r="B41" s="6" t="s">
        <v>133</v>
      </c>
      <c r="C41" s="257" t="s">
        <v>171</v>
      </c>
      <c r="D41" s="6"/>
      <c r="E41" s="6"/>
      <c r="F41" s="31"/>
      <c r="G41" s="33"/>
      <c r="H41" s="33"/>
      <c r="I41" s="33"/>
      <c r="J41" s="33"/>
      <c r="K41" s="33"/>
      <c r="L41" s="34"/>
      <c r="M41" s="33"/>
      <c r="N41" s="33"/>
    </row>
    <row r="42" spans="1:14" x14ac:dyDescent="0.3">
      <c r="A42" s="255"/>
      <c r="B42" s="7" t="s">
        <v>3</v>
      </c>
      <c r="C42" s="257"/>
      <c r="D42" s="6" t="s">
        <v>134</v>
      </c>
      <c r="E42" s="6" t="s">
        <v>135</v>
      </c>
      <c r="F42" s="31"/>
      <c r="G42" s="33"/>
      <c r="H42" s="33"/>
      <c r="I42" s="33">
        <f>'Info Pauvreté'!B23</f>
        <v>0</v>
      </c>
      <c r="J42" s="33"/>
      <c r="K42" s="33"/>
      <c r="L42" s="34" t="e">
        <f>F42/I42</f>
        <v>#DIV/0!</v>
      </c>
      <c r="M42" s="33"/>
      <c r="N42" s="33"/>
    </row>
    <row r="43" spans="1:14" x14ac:dyDescent="0.3">
      <c r="A43" s="255"/>
      <c r="B43" s="7" t="s">
        <v>4</v>
      </c>
      <c r="C43" s="257"/>
      <c r="D43" s="6" t="s">
        <v>136</v>
      </c>
      <c r="E43" s="6" t="s">
        <v>137</v>
      </c>
      <c r="F43" s="31"/>
      <c r="G43" s="33"/>
      <c r="H43" s="33"/>
      <c r="I43" s="33">
        <f>'Info Pauvreté'!B22</f>
        <v>0</v>
      </c>
      <c r="J43" s="33"/>
      <c r="K43" s="33"/>
      <c r="L43" s="34" t="e">
        <f t="shared" ref="L43:L50" si="5">F43/I43</f>
        <v>#DIV/0!</v>
      </c>
      <c r="M43" s="33"/>
      <c r="N43" s="33"/>
    </row>
    <row r="44" spans="1:14" x14ac:dyDescent="0.3">
      <c r="A44" s="255"/>
      <c r="B44" s="7" t="s">
        <v>16</v>
      </c>
      <c r="C44" s="257"/>
      <c r="D44" s="6" t="s">
        <v>138</v>
      </c>
      <c r="E44" s="6" t="s">
        <v>139</v>
      </c>
      <c r="F44" s="31"/>
      <c r="G44" s="33"/>
      <c r="H44" s="33"/>
      <c r="I44" s="33">
        <f>'Info Pauvreté'!B21</f>
        <v>0</v>
      </c>
      <c r="J44" s="33"/>
      <c r="K44" s="33"/>
      <c r="L44" s="34" t="e">
        <f t="shared" si="5"/>
        <v>#DIV/0!</v>
      </c>
      <c r="M44" s="33"/>
      <c r="N44" s="33"/>
    </row>
    <row r="45" spans="1:14" ht="28.8" x14ac:dyDescent="0.3">
      <c r="A45" s="255"/>
      <c r="B45" s="7" t="s">
        <v>140</v>
      </c>
      <c r="C45" s="257"/>
      <c r="D45" s="6" t="s">
        <v>141</v>
      </c>
      <c r="E45" s="6" t="s">
        <v>137</v>
      </c>
      <c r="F45" s="31"/>
      <c r="G45" s="33"/>
      <c r="H45" s="33"/>
      <c r="I45" s="33">
        <f>'Info Pauvreté'!B22</f>
        <v>0</v>
      </c>
      <c r="J45" s="33"/>
      <c r="K45" s="33"/>
      <c r="L45" s="34" t="e">
        <f t="shared" si="5"/>
        <v>#DIV/0!</v>
      </c>
      <c r="M45" s="33"/>
      <c r="N45" s="33"/>
    </row>
    <row r="46" spans="1:14" ht="28.8" x14ac:dyDescent="0.3">
      <c r="A46" s="255"/>
      <c r="B46" s="6" t="s">
        <v>142</v>
      </c>
      <c r="C46" s="257" t="s">
        <v>143</v>
      </c>
      <c r="D46" s="6"/>
      <c r="E46" s="6"/>
      <c r="F46" s="31"/>
      <c r="G46" s="33"/>
      <c r="H46" s="33"/>
      <c r="I46" s="33"/>
      <c r="J46" s="33"/>
      <c r="K46" s="33"/>
      <c r="L46" s="34"/>
      <c r="M46" s="33"/>
      <c r="N46" s="33"/>
    </row>
    <row r="47" spans="1:14" x14ac:dyDescent="0.3">
      <c r="A47" s="255"/>
      <c r="B47" s="7" t="s">
        <v>3</v>
      </c>
      <c r="C47" s="257"/>
      <c r="D47" s="6" t="s">
        <v>134</v>
      </c>
      <c r="E47" s="6" t="s">
        <v>144</v>
      </c>
      <c r="F47" s="31"/>
      <c r="G47" s="33"/>
      <c r="H47" s="33"/>
      <c r="I47" s="33">
        <f>'Info Pauvreté'!B20</f>
        <v>0</v>
      </c>
      <c r="J47" s="33"/>
      <c r="K47" s="33"/>
      <c r="L47" s="34" t="e">
        <f t="shared" si="5"/>
        <v>#DIV/0!</v>
      </c>
      <c r="M47" s="33"/>
      <c r="N47" s="33"/>
    </row>
    <row r="48" spans="1:14" x14ac:dyDescent="0.3">
      <c r="A48" s="255"/>
      <c r="B48" s="7" t="s">
        <v>4</v>
      </c>
      <c r="C48" s="257"/>
      <c r="D48" s="6" t="s">
        <v>136</v>
      </c>
      <c r="E48" s="6" t="s">
        <v>145</v>
      </c>
      <c r="F48" s="31"/>
      <c r="G48" s="33"/>
      <c r="H48" s="33"/>
      <c r="I48" s="33">
        <f>'Info Pauvreté'!B19</f>
        <v>0</v>
      </c>
      <c r="J48" s="33"/>
      <c r="K48" s="33"/>
      <c r="L48" s="34" t="e">
        <f t="shared" si="5"/>
        <v>#DIV/0!</v>
      </c>
      <c r="M48" s="33"/>
      <c r="N48" s="33"/>
    </row>
    <row r="49" spans="1:14" x14ac:dyDescent="0.3">
      <c r="A49" s="255"/>
      <c r="B49" s="7" t="s">
        <v>16</v>
      </c>
      <c r="C49" s="257"/>
      <c r="D49" s="6" t="s">
        <v>138</v>
      </c>
      <c r="E49" s="6" t="s">
        <v>146</v>
      </c>
      <c r="F49" s="31"/>
      <c r="G49" s="33"/>
      <c r="H49" s="33"/>
      <c r="I49" s="33">
        <f>'Info Pauvreté'!B18</f>
        <v>0</v>
      </c>
      <c r="J49" s="33"/>
      <c r="K49" s="33"/>
      <c r="L49" s="34" t="e">
        <f t="shared" si="5"/>
        <v>#DIV/0!</v>
      </c>
      <c r="M49" s="33"/>
      <c r="N49" s="33"/>
    </row>
    <row r="50" spans="1:14" ht="28.8" x14ac:dyDescent="0.3">
      <c r="A50" s="255"/>
      <c r="B50" s="7" t="s">
        <v>140</v>
      </c>
      <c r="C50" s="257"/>
      <c r="D50" s="6" t="s">
        <v>141</v>
      </c>
      <c r="E50" s="6" t="s">
        <v>147</v>
      </c>
      <c r="F50" s="31"/>
      <c r="G50" s="33"/>
      <c r="H50" s="33"/>
      <c r="I50" s="33">
        <f>'Info Pauvreté'!B17</f>
        <v>0</v>
      </c>
      <c r="J50" s="33"/>
      <c r="K50" s="33"/>
      <c r="L50" s="34" t="e">
        <f t="shared" si="5"/>
        <v>#DIV/0!</v>
      </c>
      <c r="M50" s="33"/>
      <c r="N50" s="33"/>
    </row>
  </sheetData>
  <customSheetViews>
    <customSheetView guid="{43331C61-E5DE-4680-8381-52BB1541163B}">
      <pane xSplit="2" ySplit="1" topLeftCell="E2" activePane="bottomRight" state="frozen"/>
      <selection pane="bottomRight" activeCell="H11" sqref="H11"/>
      <pageMargins left="0.7" right="0.7" top="0.75" bottom="0.75" header="0.3" footer="0.3"/>
    </customSheetView>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INSTRUCTIONS</vt:lpstr>
      <vt:lpstr>Inventaire des régimes</vt:lpstr>
      <vt:lpstr>Régime 1</vt:lpstr>
      <vt:lpstr>Régime 2</vt:lpstr>
      <vt:lpstr>Régime 3</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2023-11-14T08:04:18Z</cp:lastPrinted>
  <dcterms:created xsi:type="dcterms:W3CDTF">2018-04-19T13:37:25Z</dcterms:created>
  <dcterms:modified xsi:type="dcterms:W3CDTF">2026-06-14T01:21:35Z</dcterms:modified>
</cp:coreProperties>
</file>