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1" documentId="8_{6CA6B0F4-DD79-419B-AB90-B1FE3930D400}" xr6:coauthVersionLast="47" xr6:coauthVersionMax="47" xr10:uidLastSave="{8A42FED6-8EF3-4B0C-B972-620375BDCAE8}"/>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<sst xmlns="http://schemas.openxmlformats.org/spreadsheetml/2006/main" count="3090" uniqueCount="529">
  <si>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</si>
  <si>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</si>
  <si>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</si>
  <si>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</si>
  <si>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</si>
  <si>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</si>
  <si>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</si>
  <si>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</si>
  <si>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</si>
  <si>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</si>
  <si>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</si>
  <si>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</si>
  <si>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</si>
  <si>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</si>
  <si>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</si>
  <si>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</si>
  <si>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</si>
  <si>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</si>
  <si>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</si>
  <si>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</si>
  <si>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</si>
  <si>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</si>
  <si>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</si>
  <si>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</si>
  <si>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</si>
  <si>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</si>
  <si>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</si>
  <si>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</si>
  <si>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</si>
  <si>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</si>
  <si>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</si>
  <si>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</si>
  <si>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</si>
  <si>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</si>
  <si>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</si>
  <si>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</si>
  <si>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</si>
  <si>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</si>
  <si>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</si>
  <si>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</si>
  <si>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</si>
  <si>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</si>
  <si>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</si>
  <si>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</si>
  <si>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</si>
  <si>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</si>
  <si>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</si>
  <si>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</si>
  <si>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</si>
  <si>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</si>
  <si>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</si>
  <si>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</si>
  <si>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</si>
  <si>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</si>
  <si>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</si>
  <si>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</si>
  <si>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</si>
  <si>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</si>
  <si>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</si>
  <si>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</si>
  <si>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</si>
  <si>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</si>
  <si>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</si>
  <si>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</si>
  <si>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</si>
  <si>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</si>
  <si>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</si>
  <si>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</si>
  <si>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</si>
  <si>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</si>
  <si>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</si>
  <si>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</si>
  <si>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</si>
  <si>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</si>
  <si>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</si>
  <si>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</si>
  <si>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</si>
  <si>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</si>
  <si>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</si>
  <si>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</si>
  <si>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</si>
  <si>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</si>
  <si>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</si>
  <si>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</si>
  <si>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</si>
  <si>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</si>
  <si>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</si>
  <si>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</si>
  <si>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</si>
  <si>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</si>
  <si>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</si>
  <si>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</si>
  <si>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</si>
  <si>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</si>
  <si>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</si>
  <si>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</si>
  <si>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</si>
  <si>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</si>
  <si>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</si>
  <si>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</si>
  <si>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</si>
  <si>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</si>
  <si>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</si>
  <si>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</si>
  <si>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</si>
  <si>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</si>
  <si>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</si>
  <si>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</si>
  <si>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</si>
  <si>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</si>
  <si>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</si>
  <si>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</si>
  <si>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</si>
  <si>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</si>
  <si>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</si>
  <si>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</si>
  <si>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</si>
  <si>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</si>
  <si>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</si>
  <si>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</si>
  <si>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</si>
  <si>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</si>
  <si>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</si>
  <si>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</si>
  <si>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</si>
  <si>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</si>
  <si>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</si>
  <si>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</si>
  <si>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</si>
  <si>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</si>
  <si>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</si>
  <si>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</si>
  <si>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</si>
  <si>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</si>
  <si>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</si>
  <si>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</si>
  <si>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</si>
  <si>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</si>
  <si>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</si>
  <si>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</si>
  <si>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</si>
  <si>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</si>
  <si>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</si>
  <si>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</si>
  <si>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</si>
  <si>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</si>
  <si>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</si>
  <si>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</si>
  <si>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</si>
  <si>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</si>
  <si>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</si>
  <si>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</si>
  <si>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</si>
  <si>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</si>
  <si>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</si>
  <si>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</si>
  <si>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</si>
  <si>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</si>
  <si>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</si>
  <si>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</si>
  <si>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</si>
  <si>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</si>
  <si>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</si>
  <si>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</si>
  <si>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</si>
  <si>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</si>
  <si>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</si>
  <si>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</si>
  <si>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</si>
  <si>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</si>
  <si>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</si>
  <si>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</si>
  <si>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</si>
  <si>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</si>
  <si>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</si>
  <si>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</si>
  <si>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</si>
  <si>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</si>
  <si>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</si>
  <si>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</si>
  <si>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</si>
  <si>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</si>
  <si>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</si>
  <si>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</si>
  <si>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</si>
  <si>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</si>
  <si>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</si>
  <si>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</si>
  <si>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</si>
  <si>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</si>
  <si>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</si>
  <si>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</si>
  <si>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</si>
  <si>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</si>
  <si>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</si>
  <si>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</si>
  <si>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</si>
  <si>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</si>
  <si>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</si>
  <si>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</si>
  <si>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</si>
  <si>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</si>
  <si>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</si>
  <si>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</si>
  <si>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</si>
  <si>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</si>
  <si>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</si>
  <si>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</si>
  <si>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</si>
  <si>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</si>
  <si>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</si>
  <si>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</si>
  <si>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</si>
  <si>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</si>
  <si>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</si>
  <si>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</si>
  <si>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</si>
  <si>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</si>
  <si>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</si>
  <si>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</si>
  <si>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</si>
  <si>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</si>
  <si>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</si>
  <si>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</si>
  <si>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</si>
  <si>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</si>
  <si>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</si>
  <si>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</si>
  <si>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</si>
  <si>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</si>
  <si>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</si>
  <si>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</si>
  <si>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</si>
  <si>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</si>
  <si>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</si>
  <si>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</si>
  <si>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</si>
  <si>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</si>
  <si>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</si>
  <si>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</si>
  <si>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</si>
  <si>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</si>
  <si>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</si>
  <si>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</si>
  <si>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</si>
  <si>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</si>
  <si>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</si>
  <si>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</si>
  <si>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</si>
  <si>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</si>
  <si>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</si>
  <si>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</si>
  <si>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</si>
  <si>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</si>
  <si>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</si>
  <si>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</si>
  <si>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</si>
  <si>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</si>
  <si>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</si>
  <si>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</si>
  <si>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</si>
  <si>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</si>
  <si>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</si>
  <si>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</si>
  <si>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</si>
  <si>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</si>
  <si>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</si>
  <si>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</si>
  <si>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</si>
  <si>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</si>
  <si>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</si>
  <si>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</si>
  <si>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</si>
  <si>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</si>
  <si>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</si>
  <si>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</si>
  <si>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</si>
  <si>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</si>
  <si>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</si>
  <si>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</si>
  <si>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</si>
  <si>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</si>
  <si>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</si>
  <si>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</si>
  <si>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</si>
  <si>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</si>
  <si>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</si>
  <si>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</si>
  <si>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</si>
  <si>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</si>
  <si>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</si>
  <si>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</si>
  <si>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</si>
  <si>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</si>
  <si>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</si>
  <si>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</si>
  <si>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</si>
  <si>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</si>
  <si>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</si>
  <si>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</si>
  <si>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</si>
  <si>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</si>
  <si>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</si>
  <si>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</si>
  <si>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</si>
  <si>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</si>
  <si>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</si>
  <si>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</si>
  <si>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</si>
  <si>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</si>
  <si>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</si>
  <si>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</si>
  <si>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</si>
  <si>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</si>
  <si>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</si>
  <si>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</si>
  <si>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</si>
  <si>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</si>
  <si>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</si>
  <si>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</si>
  <si>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</si>
  <si>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</si>
  <si>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</si>
  <si>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</si>
  <si>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</si>
  <si>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</si>
  <si>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</si>
  <si>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</si>
  <si>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</si>
  <si>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</si>
  <si>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</si>
  <si>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</si>
  <si>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</si>
  <si>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</si>
  <si>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</si>
  <si>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</si>
  <si>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</si>
  <si>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</si>
  <si>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</si>
  <si>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</si>
  <si>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</si>
  <si>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</si>
  <si>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</si>
  <si>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</si>
  <si>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</si>
  <si>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</si>
  <si>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</si>
  <si>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</si>
  <si>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</si>
  <si>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</si>
  <si>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</si>
  <si>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</si>
  <si>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</si>
  <si>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</si>
  <si>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</si>
  <si>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</si>
  <si>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</si>
  <si>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</si>
  <si>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</si>
  <si>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</si>
  <si>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</si>
  <si>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</si>
  <si>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</si>
  <si>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</si>
  <si>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</si>
  <si>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</si>
  <si>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</si>
  <si>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</si>
  <si>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</si>
  <si>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</si>
  <si>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</si>
  <si>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</si>
  <si>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</si>
  <si>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</si>
  <si>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</si>
  <si>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</si>
  <si>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</si>
  <si>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</si>
  <si>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</si>
  <si>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</si>
  <si>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</si>
  <si>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</si>
  <si>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</si>
  <si>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</si>
  <si>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</si>
  <si>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</si>
  <si>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</si>
  <si>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</si>
  <si>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</si>
  <si>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</si>
  <si>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</si>
  <si>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</si>
  <si>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</si>
  <si>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</si>
  <si>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</si>
  <si>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</si>
  <si>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</si>
  <si>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</si>
  <si>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</si>
  <si>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</si>
  <si>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</si>
  <si>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</si>
  <si>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</si>
  <si>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</si>
  <si>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</si>
  <si>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</si>
  <si>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</si>
  <si>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</si>
  <si>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</si>
  <si>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</si>
  <si>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</si>
  <si>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</si>
  <si>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</si>
  <si>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</si>
  <si>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</si>
  <si>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</si>
  <si>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</si>
  <si>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</si>
  <si>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</si>
  <si>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</si>
  <si>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</si>
  <si>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</si>
  <si>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</si>
  <si>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</si>
  <si>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</si>
  <si>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</si>
  <si>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</si>
  <si>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</si>
  <si>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</si>
  <si>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</si>
  <si>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</si>
  <si>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</si>
  <si>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</si>
  <si>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</si>
  <si>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</si>
  <si>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</si>
  <si>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</si>
  <si>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</si>
  <si>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</si>
  <si>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</si>
  <si>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</si>
  <si>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</si>
  <si>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</si>
  <si>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</si>
  <si>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</si>
  <si>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</si>
  <si>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</si>
  <si>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</si>
  <si>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</si>
  <si>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</si>
  <si>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</si>
  <si>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</si>
  <si>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</si>
  <si>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</si>
  <si>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</si>
  <si>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</si>
  <si>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</si>
  <si>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</si>
  <si>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</si>
  <si>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</si>
  <si>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</si>
  <si>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</si>
  <si>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</si>
  <si>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</si>
  <si>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</si>
  <si>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</si>
  <si>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</si>
  <si>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</si>
  <si>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</si>
  <si>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</si>
  <si>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</si>
  <si>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</si>
  <si>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</si>
  <si>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</si>
  <si>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</si>
  <si>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</si>
  <si>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</si>
  <si>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</si>
  <si>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</si>
  <si>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</si>
  <si>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</si>
  <si>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</si>
  <si>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</si>
  <si>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</si>
  <si>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</si>
  <si>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</si>
  <si>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</si>
  <si>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</si>
  <si>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</si>
  <si>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</si>
  <si>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</si>
  <si>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</si>
  <si>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</si>
  <si>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</si>
  <si>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</si>
  <si>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</si>
  <si>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</si>
  <si>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</si>
  <si>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</si>
  <si>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</si>
  <si>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</si>
  <si>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</si>
  <si>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</si>
  <si>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</si>
  <si>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</si>
  <si>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</si>
  <si>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</si>
  <si>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</si>
  <si>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</si>
  <si>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</si>
  <si>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</si>
  <si>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</si>
  <si>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</si>
  <si>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</si>
  <si>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</si>
  <si>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</si>
  <si>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</si>
  <si>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</si>
  <si>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</si>
  <si>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</si>
  <si>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</si>
  <si>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</si>
  <si>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</si>
  <si>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</si>
  <si>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</si>
  <si>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</si>
  <si>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Ministère de l’enseignement primaire, secondaire et technique (MEPST)</t>
  </si>
  <si>
    <t>Gratuité de l'EPST</t>
  </si>
  <si>
    <t>RDC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</si>
</sst>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3">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9" dataDxfId="48" tableBorderDxfId="47">
  <autoFilter ref="A1:A4" xr:uid="{00000000-0009-0000-0100-000001000000}"/>
  <tableColumns count="1">
    <tableColumn id="1" xr3:uid="{00000000-0010-0000-0000-000001000000}" name="LIST_CNon" dataDxfId="4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5" dataDxfId="44">
  <autoFilter ref="B1:B13" xr:uid="{00000000-0009-0000-0100-000002000000}"/>
  <tableColumns count="1">
    <tableColumn id="1" xr3:uid="{00000000-0010-0000-0100-000001000000}" name="LIST_Func" dataDxfId="43"/>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42" dataDxfId="41">
  <autoFilter ref="C1:C13" xr:uid="{00000000-0009-0000-0100-000003000000}"/>
  <tableColumns count="1">
    <tableColumn id="1" xr3:uid="{00000000-0010-0000-0200-000001000000}" name="LIST_PopGrp" dataDxfId="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9" dataDxfId="38">
  <autoFilter ref="D1:D5" xr:uid="{00000000-0009-0000-0100-000004000000}"/>
  <tableColumns count="1">
    <tableColumn id="1" xr3:uid="{00000000-0010-0000-0300-000001000000}" name="LIST_AgrGrp" dataDxfId="37"/>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6" dataDxfId="35">
  <autoFilter ref="E1:E4" xr:uid="{00000000-0009-0000-0100-000005000000}"/>
  <tableColumns count="1">
    <tableColumn id="1" xr3:uid="{00000000-0010-0000-0400-000001000000}" name="LIST_Area" dataDxfId="3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33" dataDxfId="32">
  <autoFilter ref="F1:F4" xr:uid="{00000000-0009-0000-0100-000006000000}"/>
  <tableColumns count="1">
    <tableColumn id="1" xr3:uid="{00000000-0010-0000-0500-000001000000}" name="List_MVol" dataDxfId="31"/>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30" dataDxfId="29">
  <autoFilter ref="G1:G3" xr:uid="{00000000-0009-0000-0100-000007000000}"/>
  <tableColumns count="1">
    <tableColumn id="1" xr3:uid="{00000000-0010-0000-0600-000001000000}" name="LIST_CKnd" dataDxfId="2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7" dataDxfId="26">
  <autoFilter ref="H1:H4" xr:uid="{00000000-0009-0000-0100-000008000000}"/>
  <tableColumns count="1">
    <tableColumn id="1" xr3:uid="{00000000-0010-0000-0700-000001000000}" name="LIST_Test" dataDxfId="25"/>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4" dataDxfId="23">
  <autoFilter ref="I1:I3" xr:uid="{00000000-0009-0000-0100-000009000000}"/>
  <tableColumns count="1">
    <tableColumn id="1" xr3:uid="{00000000-0010-0000-0800-000001000000}" name="LIST_Per" dataDxfId="2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21" dataDxfId="20">
  <autoFilter ref="J1:J3" xr:uid="{00000000-0009-0000-0100-00000A000000}"/>
  <tableColumns count="1">
    <tableColumn id="1" xr3:uid="{00000000-0010-0000-0900-000001000000}" name="LIST_Con" dataDxfId="19"/>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8" dataDxfId="17">
  <autoFilter ref="K1:K3" xr:uid="{00000000-0009-0000-0100-00000B000000}"/>
  <tableColumns count="1">
    <tableColumn id="1" xr3:uid="{00000000-0010-0000-0A00-000001000000}" name="LIST_PPrv" dataDxfId="16"/>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5" dataDxfId="14">
  <autoFilter ref="L1:L4" xr:uid="{00000000-0009-0000-0100-00000C000000}"/>
  <tableColumns count="1">
    <tableColumn id="1" xr3:uid="{00000000-0010-0000-0B00-000001000000}" name="LIST_LSta" dataDxfId="13"/>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12" dataDxfId="11">
  <autoFilter ref="M1:M5" xr:uid="{00000000-0009-0000-0100-00000D000000}"/>
  <tableColumns count="1">
    <tableColumn id="1" xr3:uid="{00000000-0010-0000-0C00-000001000000}" name="LIST_Cuni" dataDxfId="1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9" dataDxfId="8">
  <autoFilter ref="N1:N3" xr:uid="{00000000-0009-0000-0100-00000E000000}"/>
  <tableColumns count="1">
    <tableColumn id="1" xr3:uid="{00000000-0010-0000-0D00-000001000000}" name="LIST_X" dataDxfId="7"/>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6" dataDxfId="5">
  <autoFilter ref="O1:O12" xr:uid="{00000000-0009-0000-0100-00000F000000}"/>
  <tableColumns count="1">
    <tableColumn id="1" xr3:uid="{00000000-0010-0000-0E00-000001000000}" name="LIST_TPro" dataDxfId="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C6" activePane="bottomRight" state="frozen"/>
      <selection pane="topRight" activeCell="C1" sqref="C1"/>
      <selection pane="bottomLeft" activeCell="A6" sqref="A6"/>
      <selection pane="bottomRight" activeCell="B3" sqref="B3"/>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528</v>
      </c>
      <c r="C1" s="74" t="s">
        <v>178</v>
      </c>
      <c r="D1" s="152" t="s">
        <v>520</v>
      </c>
      <c r="E1" s="241" t="s">
        <v>514</v>
      </c>
      <c r="F1" s="241"/>
      <c r="G1" s="241"/>
      <c r="H1" s="241"/>
      <c r="I1" s="241"/>
      <c r="J1" s="241"/>
      <c r="K1" s="241"/>
      <c r="L1" s="241"/>
      <c r="M1" s="241"/>
      <c r="N1" s="241"/>
      <c r="O1" s="241"/>
      <c r="P1" s="241"/>
      <c r="Q1" s="241"/>
      <c r="R1" s="241"/>
      <c r="S1" s="241"/>
      <c r="T1" s="241"/>
      <c r="U1" s="241"/>
      <c r="V1" s="241"/>
      <c r="W1" s="66"/>
      <c r="X1" s="66"/>
      <c r="Y1" s="66"/>
      <c r="Z1" s="66"/>
      <c r="AA1" s="66"/>
      <c r="AB1" s="66"/>
      <c r="AC1" s="59"/>
      <c r="AD1" s="59"/>
      <c r="AE1" s="59"/>
      <c r="AF1" s="80"/>
      <c r="AG1" s="59"/>
      <c r="AH1" s="59"/>
      <c r="AI1" s="59"/>
      <c r="AJ1" s="59"/>
    </row>
    <row r="2" spans="1:37" ht="14.4" x14ac:dyDescent="0.3">
      <c r="A2" s="76" t="s">
        <v>212</v>
      </c>
      <c r="B2" s="221">
        <v>2020</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9" t="s">
        <v>216</v>
      </c>
      <c r="F4" s="239" t="s">
        <v>217</v>
      </c>
      <c r="G4" s="239" t="s">
        <v>218</v>
      </c>
      <c r="H4" s="239" t="s">
        <v>219</v>
      </c>
      <c r="I4" s="239" t="s">
        <v>220</v>
      </c>
      <c r="J4" s="239" t="s">
        <v>221</v>
      </c>
      <c r="K4" s="239" t="s">
        <v>222</v>
      </c>
      <c r="L4" s="239" t="s">
        <v>223</v>
      </c>
      <c r="M4" s="239" t="s">
        <v>224</v>
      </c>
      <c r="N4" s="239" t="s">
        <v>225</v>
      </c>
      <c r="O4" s="239" t="s">
        <v>226</v>
      </c>
      <c r="P4" s="239" t="s">
        <v>227</v>
      </c>
      <c r="Q4" s="239" t="s">
        <v>228</v>
      </c>
      <c r="R4" s="239" t="s">
        <v>229</v>
      </c>
      <c r="S4" s="239" t="s">
        <v>230</v>
      </c>
      <c r="T4" s="239" t="s">
        <v>231</v>
      </c>
      <c r="U4" s="239" t="s">
        <v>232</v>
      </c>
      <c r="V4" s="141" t="s">
        <v>233</v>
      </c>
      <c r="W4" s="142" t="s">
        <v>234</v>
      </c>
      <c r="X4" s="242" t="s">
        <v>521</v>
      </c>
      <c r="Y4" s="243"/>
      <c r="Z4" s="244"/>
      <c r="AA4" s="236" t="s">
        <v>325</v>
      </c>
      <c r="AB4" s="237"/>
      <c r="AC4" s="238"/>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0"/>
      <c r="F5" s="240"/>
      <c r="G5" s="240"/>
      <c r="H5" s="240"/>
      <c r="I5" s="240"/>
      <c r="J5" s="240"/>
      <c r="K5" s="240"/>
      <c r="L5" s="240"/>
      <c r="M5" s="240"/>
      <c r="N5" s="240"/>
      <c r="O5" s="240"/>
      <c r="P5" s="240"/>
      <c r="Q5" s="240"/>
      <c r="R5" s="240"/>
      <c r="S5" s="240"/>
      <c r="T5" s="240"/>
      <c r="U5" s="240"/>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ht="41.4" x14ac:dyDescent="0.3">
      <c r="A6" s="170" t="s">
        <v>246</v>
      </c>
      <c r="B6" s="172" t="s">
        <v>527</v>
      </c>
      <c r="C6" s="172" t="s">
        <v>527</v>
      </c>
      <c r="D6" s="173" t="s">
        <v>526</v>
      </c>
      <c r="E6" s="173"/>
      <c r="F6" s="173"/>
      <c r="G6" s="173"/>
      <c r="H6" s="173"/>
      <c r="I6" s="173"/>
      <c r="J6" s="173"/>
      <c r="K6" s="173"/>
      <c r="L6" s="173" t="s">
        <v>10</v>
      </c>
      <c r="M6" s="173"/>
      <c r="N6" s="173"/>
      <c r="O6" s="173"/>
      <c r="P6" s="173"/>
      <c r="Q6" s="173"/>
      <c r="R6" s="173"/>
      <c r="S6" s="173"/>
      <c r="T6" s="173"/>
      <c r="U6" s="173"/>
      <c r="V6" s="173" t="s">
        <v>397</v>
      </c>
      <c r="W6" s="173"/>
      <c r="X6" s="219"/>
      <c r="Y6" s="181"/>
      <c r="Z6" s="181"/>
      <c r="AA6" s="219">
        <v>16668703</v>
      </c>
      <c r="AB6" s="181"/>
      <c r="AC6" s="181"/>
      <c r="AD6" s="173" t="s">
        <v>432</v>
      </c>
      <c r="AE6" s="173" t="s">
        <v>432</v>
      </c>
      <c r="AF6" s="173" t="s">
        <v>452</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58" type="noConversion"/>
  <conditionalFormatting sqref="A6:AJ45">
    <cfRule type="expression" dxfId="212" priority="2">
      <formula>MOD(ROW(),2)=0</formula>
    </cfRule>
    <cfRule type="expression" dxfId="211"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C6" sqref="C6"/>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Gratuité de l'EPST</v>
      </c>
      <c r="C1" s="163" t="str">
        <f ca="1">IF(OFFSET('Inventaire des régimes'!C5,(_xlfn.SHEET()-2),0)=0,"Name of Scheme in English", OFFSET('Inventaire des régimes'!C5,(_xlfn.SHEET()-2),0))</f>
        <v>Gratuité de l'EPST</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55.2" x14ac:dyDescent="0.3">
      <c r="A5" s="96" t="s">
        <v>353</v>
      </c>
      <c r="B5" s="172" t="s">
        <v>527</v>
      </c>
      <c r="C5" s="172" t="s">
        <v>527</v>
      </c>
      <c r="D5" s="189" t="s">
        <v>405</v>
      </c>
      <c r="E5" s="190" t="s">
        <v>415</v>
      </c>
      <c r="F5" s="189" t="s">
        <v>221</v>
      </c>
      <c r="G5" s="188"/>
      <c r="H5" s="188" t="s">
        <v>397</v>
      </c>
      <c r="I5" s="225"/>
      <c r="J5" s="204"/>
      <c r="K5" s="204"/>
      <c r="L5" s="226">
        <v>16668703</v>
      </c>
      <c r="M5" s="206"/>
      <c r="N5" s="206"/>
      <c r="O5" s="191" t="s">
        <v>426</v>
      </c>
      <c r="P5" s="192"/>
      <c r="Q5" s="191"/>
      <c r="R5" s="191"/>
      <c r="S5" s="191"/>
      <c r="T5" s="193"/>
      <c r="U5" s="193" t="s">
        <v>427</v>
      </c>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B5">
    <cfRule type="expression" dxfId="3" priority="3">
      <formula>MOD(ROW(),2)=0</formula>
    </cfRule>
    <cfRule type="expression" dxfId="2" priority="4">
      <formula>MOD(ROW(),2)=1</formula>
    </cfRule>
  </conditionalFormatting>
  <conditionalFormatting sqref="C5">
    <cfRule type="expression" dxfId="1" priority="1">
      <formula>MOD(ROW(),2)=0</formula>
    </cfRule>
    <cfRule type="expression" dxfId="0"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5"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0"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0"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32"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2026-06-14T01:19:13Z</dcterms:modified>
</cp:coreProperties>
</file>