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4" documentId="8_{E857232F-94A2-4C76-920A-F9C688D73BB6}" xr6:coauthVersionLast="47" xr6:coauthVersionMax="47" xr10:uidLastSave="{220EFC04-B6BA-442B-833B-C343A3A75A79}"/>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<sst xmlns="http://schemas.openxmlformats.org/spreadsheetml/2006/main" count="3090" uniqueCount="530">
  <si>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</si>
  <si>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</si>
  <si>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</si>
  <si>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</si>
  <si>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</si>
  <si>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</si>
  <si>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</si>
  <si>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</si>
  <si>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</si>
  <si>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</si>
  <si>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</si>
  <si>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</si>
  <si>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</si>
  <si>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</si>
  <si>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</si>
  <si>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</si>
  <si>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</si>
  <si>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</si>
  <si>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</si>
  <si>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</si>
  <si>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</si>
  <si>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</si>
  <si>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</si>
  <si>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</si>
  <si>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</si>
  <si>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</si>
  <si>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</si>
  <si>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</si>
  <si>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</si>
  <si>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</si>
  <si>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</si>
  <si>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</si>
  <si>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</si>
  <si>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</si>
  <si>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</si>
  <si>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</si>
  <si>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</si>
  <si>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</si>
  <si>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</si>
  <si>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</si>
  <si>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</si>
  <si>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</si>
  <si>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</si>
  <si>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</si>
  <si>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</si>
  <si>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</si>
  <si>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</si>
  <si>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</si>
  <si>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</si>
  <si>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</si>
  <si>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</si>
  <si>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</si>
  <si>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</si>
  <si>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</si>
  <si>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</si>
  <si>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</si>
  <si>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</si>
  <si>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</si>
  <si>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</si>
  <si>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</si>
  <si>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</si>
  <si>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</si>
  <si>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</si>
  <si>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</si>
  <si>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</si>
  <si>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</si>
  <si>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</si>
  <si>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</si>
  <si>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</si>
  <si>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</si>
  <si>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</si>
  <si>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</si>
  <si>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</si>
  <si>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</si>
  <si>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</si>
  <si>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</si>
  <si>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</si>
  <si>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</si>
  <si>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</si>
  <si>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</si>
  <si>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</si>
  <si>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</si>
  <si>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</si>
  <si>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</si>
  <si>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</si>
  <si>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</si>
  <si>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</si>
  <si>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</si>
  <si>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</si>
  <si>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</si>
  <si>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</si>
  <si>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</si>
  <si>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</si>
  <si>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</si>
  <si>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</si>
  <si>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</si>
  <si>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</si>
  <si>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</si>
  <si>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</si>
  <si>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</si>
  <si>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</si>
  <si>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</si>
  <si>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</si>
  <si>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</si>
  <si>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</si>
  <si>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</si>
  <si>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</si>
  <si>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</si>
  <si>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</si>
  <si>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</si>
  <si>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</si>
  <si>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</si>
  <si>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</si>
  <si>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</si>
  <si>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</si>
  <si>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</si>
  <si>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</si>
  <si>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</si>
  <si>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</si>
  <si>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</si>
  <si>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</si>
  <si>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</si>
  <si>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</si>
  <si>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</si>
  <si>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</si>
  <si>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</si>
  <si>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</si>
  <si>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</si>
  <si>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</si>
  <si>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</si>
  <si>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</si>
  <si>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</si>
  <si>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</si>
  <si>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</si>
  <si>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</si>
  <si>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</si>
  <si>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</si>
  <si>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</si>
  <si>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</si>
  <si>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</si>
  <si>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</si>
  <si>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</si>
  <si>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</si>
  <si>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</si>
  <si>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</si>
  <si>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</si>
  <si>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</si>
  <si>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</si>
  <si>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</si>
  <si>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</si>
  <si>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</si>
  <si>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</si>
  <si>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</si>
  <si>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</si>
  <si>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</si>
  <si>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</si>
  <si>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</si>
  <si>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</si>
  <si>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</si>
  <si>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</si>
  <si>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</si>
  <si>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</si>
  <si>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</si>
  <si>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</si>
  <si>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</si>
  <si>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</si>
  <si>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</si>
  <si>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</si>
  <si>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</si>
  <si>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</si>
  <si>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</si>
  <si>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</si>
  <si>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</si>
  <si>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</si>
  <si>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</si>
  <si>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</si>
  <si>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</si>
  <si>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</si>
  <si>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</si>
  <si>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</si>
  <si>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</si>
  <si>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</si>
  <si>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</si>
  <si>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</si>
  <si>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</si>
  <si>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</si>
  <si>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</si>
  <si>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</si>
  <si>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</si>
  <si>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</si>
  <si>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</si>
  <si>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</si>
  <si>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</si>
  <si>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</si>
  <si>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</si>
  <si>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</si>
  <si>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</si>
  <si>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</si>
  <si>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</si>
  <si>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</si>
  <si>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</si>
  <si>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</si>
  <si>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</si>
  <si>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</si>
  <si>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</si>
  <si>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</si>
  <si>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</si>
  <si>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</si>
  <si>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</si>
  <si>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</si>
  <si>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</si>
  <si>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</si>
  <si>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</si>
  <si>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</si>
  <si>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</si>
  <si>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</si>
  <si>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</si>
  <si>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</si>
  <si>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</si>
  <si>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</si>
  <si>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</si>
  <si>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</si>
  <si>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</si>
  <si>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</si>
  <si>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</si>
  <si>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</si>
  <si>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</si>
  <si>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</si>
  <si>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</si>
  <si>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</si>
  <si>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</si>
  <si>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</si>
  <si>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</si>
  <si>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</si>
  <si>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</si>
  <si>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</si>
  <si>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</si>
  <si>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</si>
  <si>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</si>
  <si>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</si>
  <si>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</si>
  <si>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</si>
  <si>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</si>
  <si>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</si>
  <si>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</si>
  <si>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</si>
  <si>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</si>
  <si>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</si>
  <si>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</si>
  <si>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</si>
  <si>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</si>
  <si>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</si>
  <si>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</si>
  <si>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</si>
  <si>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</si>
  <si>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</si>
  <si>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</si>
  <si>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</si>
  <si>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</si>
  <si>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</si>
  <si>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</si>
  <si>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</si>
  <si>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</si>
  <si>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</si>
  <si>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</si>
  <si>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</si>
  <si>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</si>
  <si>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</si>
  <si>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</si>
  <si>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</si>
  <si>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</si>
  <si>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</si>
  <si>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</si>
  <si>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</si>
  <si>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</si>
  <si>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</si>
  <si>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</si>
  <si>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</si>
  <si>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</si>
  <si>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</si>
  <si>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</si>
  <si>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</si>
  <si>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</si>
  <si>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</si>
  <si>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</si>
  <si>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</si>
  <si>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</si>
  <si>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</si>
  <si>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</si>
  <si>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</si>
  <si>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</si>
  <si>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</si>
  <si>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</si>
  <si>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</si>
  <si>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</si>
  <si>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</si>
  <si>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</si>
  <si>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</si>
  <si>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</si>
  <si>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</si>
  <si>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</si>
  <si>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</si>
  <si>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</si>
  <si>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</si>
  <si>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</si>
  <si>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</si>
  <si>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</si>
  <si>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</si>
  <si>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</si>
  <si>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</si>
  <si>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</si>
  <si>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</si>
  <si>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</si>
  <si>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</si>
  <si>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</si>
  <si>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</si>
  <si>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</si>
  <si>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</si>
  <si>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</si>
  <si>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</si>
  <si>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</si>
  <si>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</si>
  <si>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</si>
  <si>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</si>
  <si>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</si>
  <si>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</si>
  <si>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</si>
  <si>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</si>
  <si>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</si>
  <si>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</si>
  <si>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</si>
  <si>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</si>
  <si>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</si>
  <si>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</si>
  <si>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</si>
  <si>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</si>
  <si>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</si>
  <si>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</si>
  <si>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</si>
  <si>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</si>
  <si>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</si>
  <si>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</si>
  <si>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</si>
  <si>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</si>
  <si>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</si>
  <si>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</si>
  <si>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</si>
  <si>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</si>
  <si>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</si>
  <si>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</si>
  <si>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</si>
  <si>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</si>
  <si>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</si>
  <si>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</si>
  <si>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</si>
  <si>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</si>
  <si>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</si>
  <si>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</si>
  <si>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</si>
  <si>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</si>
  <si>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</si>
  <si>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</si>
  <si>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</si>
  <si>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</si>
  <si>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</si>
  <si>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</si>
  <si>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</si>
  <si>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</si>
  <si>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</si>
  <si>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</si>
  <si>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</si>
  <si>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</si>
  <si>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</si>
  <si>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</si>
  <si>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</si>
  <si>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</si>
  <si>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</si>
  <si>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</si>
  <si>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</si>
  <si>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</si>
  <si>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</si>
  <si>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</si>
  <si>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</si>
  <si>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</si>
  <si>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</si>
  <si>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</si>
  <si>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</si>
  <si>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</si>
  <si>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</si>
  <si>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</si>
  <si>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</si>
  <si>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</si>
  <si>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</si>
  <si>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</si>
  <si>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</si>
  <si>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</si>
  <si>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</si>
  <si>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</si>
  <si>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</si>
  <si>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</si>
  <si>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</si>
  <si>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</si>
  <si>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</si>
  <si>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</si>
  <si>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</si>
  <si>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</si>
  <si>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</si>
  <si>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</si>
  <si>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</si>
  <si>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</si>
  <si>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</si>
  <si>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</si>
  <si>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</si>
  <si>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</si>
  <si>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</si>
  <si>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</si>
  <si>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</si>
  <si>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</si>
  <si>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</si>
  <si>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</si>
  <si>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</si>
  <si>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</si>
  <si>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</si>
  <si>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</si>
  <si>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</si>
  <si>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</si>
  <si>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</si>
  <si>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</si>
  <si>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</si>
  <si>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</si>
  <si>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</si>
  <si>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</si>
  <si>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</si>
  <si>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</si>
  <si>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</si>
  <si>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</si>
  <si>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</si>
  <si>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</si>
  <si>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</si>
  <si>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</si>
  <si>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</si>
  <si>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</si>
  <si>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</si>
  <si>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</si>
  <si>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</si>
  <si>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</si>
  <si>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</si>
  <si>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</si>
  <si>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</si>
  <si>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</si>
  <si>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</si>
  <si>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</si>
  <si>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</si>
  <si>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</si>
  <si>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</si>
  <si>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</si>
  <si>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</si>
  <si>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</si>
  <si>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</si>
  <si>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</si>
  <si>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</si>
  <si>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</si>
  <si>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</si>
  <si>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</si>
  <si>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</si>
  <si>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</si>
  <si>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</si>
  <si>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</si>
  <si>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</si>
  <si>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</si>
  <si>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</si>
  <si>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</si>
  <si>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</si>
  <si>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</si>
  <si>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</si>
  <si>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</si>
  <si>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</si>
  <si>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</si>
  <si>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</si>
  <si>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</si>
  <si>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</si>
  <si>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</si>
  <si>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</si>
  <si>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</si>
  <si>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</si>
  <si>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</si>
  <si>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</si>
  <si>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</si>
  <si>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</si>
  <si>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</si>
  <si>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</si>
  <si>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</si>
  <si>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</si>
  <si>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</si>
  <si>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</si>
  <si>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</si>
  <si>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</si>
  <si>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</si>
  <si>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</si>
  <si>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</si>
  <si>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</si>
  <si>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</si>
  <si>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</si>
  <si>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</si>
  <si>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</si>
  <si>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</si>
  <si>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</si>
  <si>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</si>
  <si>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</si>
  <si>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</si>
  <si>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</si>
  <si>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</si>
  <si>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</si>
  <si>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</si>
  <si>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</si>
  <si>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</si>
  <si>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</si>
  <si>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</si>
  <si>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</si>
  <si>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</si>
  <si>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</si>
  <si>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</si>
  <si>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</si>
  <si>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</si>
  <si>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</si>
  <si>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</si>
  <si>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MESP-Couverture Santé des enseignants du secteur public de la République Démocratique du Congo</t>
  </si>
  <si>
    <t>RDC</t>
  </si>
  <si>
    <t xml:space="preserve">MESP </t>
  </si>
  <si>
    <t>Prise en charge  des soins de santé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</si>
</sst>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0">
    <dxf>
      <fill>
        <patternFill>
          <bgColor theme="1"/>
        </patternFill>
      </fill>
      <border>
        <left style="thin">
          <color auto="1"/>
        </left>
        <right style="thin">
          <color auto="1"/>
        </right>
        <top style="thin">
          <color auto="1"/>
        </top>
        <bottom style="thin">
          <color auto="1"/>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6" dataDxfId="45" tableBorderDxfId="44">
  <autoFilter ref="A1:A4" xr:uid="{00000000-0009-0000-0100-000001000000}"/>
  <tableColumns count="1">
    <tableColumn id="1" xr3:uid="{00000000-0010-0000-0000-000001000000}" name="LIST_CNon" dataDxfId="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2" dataDxfId="41">
  <autoFilter ref="B1:B13" xr:uid="{00000000-0009-0000-0100-000002000000}"/>
  <tableColumns count="1">
    <tableColumn id="1" xr3:uid="{00000000-0010-0000-0100-000001000000}" name="LIST_Func" dataDxfId="4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9" dataDxfId="38">
  <autoFilter ref="C1:C13" xr:uid="{00000000-0009-0000-0100-000003000000}"/>
  <tableColumns count="1">
    <tableColumn id="1" xr3:uid="{00000000-0010-0000-0200-000001000000}" name="LIST_PopGrp" dataDxfId="3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6" dataDxfId="35">
  <autoFilter ref="D1:D5" xr:uid="{00000000-0009-0000-0100-000004000000}"/>
  <tableColumns count="1">
    <tableColumn id="1" xr3:uid="{00000000-0010-0000-0300-000001000000}" name="LIST_AgrGrp" dataDxfId="34"/>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3" dataDxfId="32">
  <autoFilter ref="E1:E4" xr:uid="{00000000-0009-0000-0100-000005000000}"/>
  <tableColumns count="1">
    <tableColumn id="1" xr3:uid="{00000000-0010-0000-0400-000001000000}" name="LIST_Area" dataDxfId="3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0" dataDxfId="29">
  <autoFilter ref="F1:F4" xr:uid="{00000000-0009-0000-0100-000006000000}"/>
  <tableColumns count="1">
    <tableColumn id="1" xr3:uid="{00000000-0010-0000-0500-000001000000}" name="List_MVol" dataDxfId="2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7" dataDxfId="26">
  <autoFilter ref="G1:G3" xr:uid="{00000000-0009-0000-0100-000007000000}"/>
  <tableColumns count="1">
    <tableColumn id="1" xr3:uid="{00000000-0010-0000-0600-000001000000}" name="LIST_CKnd" dataDxfId="2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4" dataDxfId="23">
  <autoFilter ref="H1:H4" xr:uid="{00000000-0009-0000-0100-000008000000}"/>
  <tableColumns count="1">
    <tableColumn id="1" xr3:uid="{00000000-0010-0000-0700-000001000000}" name="LIST_Test" dataDxfId="22"/>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1" dataDxfId="20">
  <autoFilter ref="I1:I3" xr:uid="{00000000-0009-0000-0100-000009000000}"/>
  <tableColumns count="1">
    <tableColumn id="1" xr3:uid="{00000000-0010-0000-0800-000001000000}" name="LIST_Per" dataDxfId="1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8" dataDxfId="17">
  <autoFilter ref="J1:J3" xr:uid="{00000000-0009-0000-0100-00000A000000}"/>
  <tableColumns count="1">
    <tableColumn id="1" xr3:uid="{00000000-0010-0000-0900-000001000000}" name="LIST_Con" dataDxfId="16"/>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5" dataDxfId="14">
  <autoFilter ref="K1:K3" xr:uid="{00000000-0009-0000-0100-00000B000000}"/>
  <tableColumns count="1">
    <tableColumn id="1" xr3:uid="{00000000-0010-0000-0A00-000001000000}" name="LIST_PPrv" dataDxfId="1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2" dataDxfId="11">
  <autoFilter ref="L1:L4" xr:uid="{00000000-0009-0000-0100-00000C000000}"/>
  <tableColumns count="1">
    <tableColumn id="1" xr3:uid="{00000000-0010-0000-0B00-000001000000}" name="LIST_LSta" dataDxfId="10"/>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9" dataDxfId="8">
  <autoFilter ref="M1:M5" xr:uid="{00000000-0009-0000-0100-00000D000000}"/>
  <tableColumns count="1">
    <tableColumn id="1" xr3:uid="{00000000-0010-0000-0C00-000001000000}" name="LIST_Cuni" dataDxfId="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6" dataDxfId="5">
  <autoFilter ref="N1:N3" xr:uid="{00000000-0009-0000-0100-00000E000000}"/>
  <tableColumns count="1">
    <tableColumn id="1" xr3:uid="{00000000-0010-0000-0D00-000001000000}" name="LIST_X" dataDxfId="4"/>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3" dataDxfId="2">
  <autoFilter ref="O1:O12" xr:uid="{00000000-0009-0000-0100-00000F000000}"/>
  <tableColumns count="1">
    <tableColumn id="1" xr3:uid="{00000000-0010-0000-0E00-000001000000}" name="LIST_TPro" dataDxfId="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V6" activePane="bottomRight" state="frozen"/>
      <selection pane="topRight" activeCell="C1" sqref="C1"/>
      <selection pane="bottomLeft" activeCell="A6" sqref="A6"/>
      <selection pane="bottomRight" activeCell="Y12" sqref="Y12"/>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527</v>
      </c>
      <c r="C1" s="74" t="s">
        <v>178</v>
      </c>
      <c r="D1" s="152" t="s">
        <v>520</v>
      </c>
      <c r="E1" s="237" t="s">
        <v>514</v>
      </c>
      <c r="F1" s="237"/>
      <c r="G1" s="237"/>
      <c r="H1" s="237"/>
      <c r="I1" s="237"/>
      <c r="J1" s="237"/>
      <c r="K1" s="237"/>
      <c r="L1" s="237"/>
      <c r="M1" s="237"/>
      <c r="N1" s="237"/>
      <c r="O1" s="237"/>
      <c r="P1" s="237"/>
      <c r="Q1" s="237"/>
      <c r="R1" s="237"/>
      <c r="S1" s="237"/>
      <c r="T1" s="237"/>
      <c r="U1" s="237"/>
      <c r="V1" s="237"/>
      <c r="W1" s="66"/>
      <c r="X1" s="66"/>
      <c r="Y1" s="66"/>
      <c r="Z1" s="66"/>
      <c r="AA1" s="66"/>
      <c r="AB1" s="66"/>
      <c r="AC1" s="59"/>
      <c r="AD1" s="59"/>
      <c r="AE1" s="59"/>
      <c r="AF1" s="80"/>
      <c r="AG1" s="59"/>
      <c r="AH1" s="59"/>
      <c r="AI1" s="59"/>
      <c r="AJ1" s="59"/>
    </row>
    <row r="2" spans="1:37" ht="14.4" x14ac:dyDescent="0.3">
      <c r="A2" s="76" t="s">
        <v>212</v>
      </c>
      <c r="B2" s="221">
        <v>2019</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8" t="s">
        <v>216</v>
      </c>
      <c r="F4" s="238" t="s">
        <v>217</v>
      </c>
      <c r="G4" s="238" t="s">
        <v>218</v>
      </c>
      <c r="H4" s="238" t="s">
        <v>219</v>
      </c>
      <c r="I4" s="238" t="s">
        <v>220</v>
      </c>
      <c r="J4" s="238" t="s">
        <v>221</v>
      </c>
      <c r="K4" s="238" t="s">
        <v>222</v>
      </c>
      <c r="L4" s="238" t="s">
        <v>223</v>
      </c>
      <c r="M4" s="238" t="s">
        <v>224</v>
      </c>
      <c r="N4" s="238" t="s">
        <v>225</v>
      </c>
      <c r="O4" s="238" t="s">
        <v>226</v>
      </c>
      <c r="P4" s="238" t="s">
        <v>227</v>
      </c>
      <c r="Q4" s="238" t="s">
        <v>228</v>
      </c>
      <c r="R4" s="238" t="s">
        <v>229</v>
      </c>
      <c r="S4" s="238" t="s">
        <v>230</v>
      </c>
      <c r="T4" s="238" t="s">
        <v>231</v>
      </c>
      <c r="U4" s="238" t="s">
        <v>232</v>
      </c>
      <c r="V4" s="141" t="s">
        <v>233</v>
      </c>
      <c r="W4" s="142" t="s">
        <v>234</v>
      </c>
      <c r="X4" s="240" t="s">
        <v>521</v>
      </c>
      <c r="Y4" s="241"/>
      <c r="Z4" s="242"/>
      <c r="AA4" s="243" t="s">
        <v>325</v>
      </c>
      <c r="AB4" s="244"/>
      <c r="AC4" s="245"/>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9"/>
      <c r="F5" s="239"/>
      <c r="G5" s="239"/>
      <c r="H5" s="239"/>
      <c r="I5" s="239"/>
      <c r="J5" s="239"/>
      <c r="K5" s="239"/>
      <c r="L5" s="239"/>
      <c r="M5" s="239"/>
      <c r="N5" s="239"/>
      <c r="O5" s="239"/>
      <c r="P5" s="239"/>
      <c r="Q5" s="239"/>
      <c r="R5" s="239"/>
      <c r="S5" s="239"/>
      <c r="T5" s="239"/>
      <c r="U5" s="239"/>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2">
      <c r="A6" s="170" t="s">
        <v>246</v>
      </c>
      <c r="B6" s="236" t="s">
        <v>526</v>
      </c>
      <c r="C6" s="236" t="s">
        <v>526</v>
      </c>
      <c r="D6" s="173" t="s">
        <v>528</v>
      </c>
      <c r="E6" s="173"/>
      <c r="F6" s="173"/>
      <c r="G6" s="173"/>
      <c r="H6" s="173"/>
      <c r="I6" s="173"/>
      <c r="J6" s="173"/>
      <c r="K6" s="173"/>
      <c r="L6" s="173"/>
      <c r="M6" s="173"/>
      <c r="N6" s="173"/>
      <c r="O6" s="173" t="s">
        <v>10</v>
      </c>
      <c r="P6" s="173"/>
      <c r="Q6" s="173"/>
      <c r="R6" s="173"/>
      <c r="S6" s="173"/>
      <c r="T6" s="173"/>
      <c r="U6" s="173"/>
      <c r="V6" s="173" t="s">
        <v>396</v>
      </c>
      <c r="W6" s="173" t="s">
        <v>422</v>
      </c>
      <c r="X6" s="225">
        <v>50256</v>
      </c>
      <c r="Y6" s="204"/>
      <c r="Z6" s="204"/>
      <c r="AA6" s="226">
        <v>122547</v>
      </c>
      <c r="AB6" s="181"/>
      <c r="AD6" s="173" t="s">
        <v>433</v>
      </c>
      <c r="AE6" s="173" t="s">
        <v>432</v>
      </c>
      <c r="AF6" s="173" t="s">
        <v>443</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8" type="noConversion"/>
  <conditionalFormatting sqref="A7:AJ45 AD6:AJ6 A6:W6 AB6">
    <cfRule type="expression" dxfId="209" priority="3">
      <formula>MOD(ROW(),2)=0</formula>
    </cfRule>
    <cfRule type="expression" dxfId="208" priority="28">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2" id="{B02D565D-F825-4CF2-AC97-E9AF5112121B}">
            <xm:f>$V6=HID_dropdown!$A$3</xm:f>
            <x14:dxf>
              <fill>
                <patternFill>
                  <bgColor theme="1"/>
                </patternFill>
              </fill>
            </x14:dxf>
          </x14:cfRule>
          <xm:sqref>W7:Z47 W6</xm:sqref>
        </x14:conditionalFormatting>
        <x14:conditionalFormatting xmlns:xm="http://schemas.microsoft.com/office/excel/2006/main">
          <x14:cfRule type="expression" priority="1" id="{AD626264-D62B-4640-8774-9D79ED0EE7B8}">
            <xm:f>$H6=HID_dropdown!$A$3</xm:f>
            <x14:dxf>
              <fill>
                <patternFill>
                  <bgColor theme="1"/>
                </patternFill>
              </fill>
              <border>
                <left style="thin">
                  <color auto="1"/>
                </left>
                <right style="thin">
                  <color auto="1"/>
                </right>
                <top style="thin">
                  <color auto="1"/>
                </top>
                <bottom style="thin">
                  <color auto="1"/>
                </bottom>
              </border>
            </x14:dxf>
          </x14:cfRule>
          <xm:sqref>X6:Z6</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D5" activePane="bottomRight" state="frozen"/>
      <selection pane="topRight" activeCell="C1" sqref="C1"/>
      <selection pane="bottomLeft" activeCell="A5" sqref="A5"/>
      <selection pane="bottomRight" activeCell="I5" sqref="I5:L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MESP-Couverture Santé des enseignants du secteur public de la République Démocratique du Congo</v>
      </c>
      <c r="C1" s="163" t="str">
        <f ca="1">IF(OFFSET('Inventaire des régimes'!C5,(_xlfn.SHEET()-2),0)=0,"Name of Scheme in English", OFFSET('Inventaire des régimes'!C5,(_xlfn.SHEET()-2),0))</f>
        <v>MESP-Couverture Santé des enseignants du secteur public de la République Démocratique du Congo</v>
      </c>
      <c r="D1" s="164">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7.6" x14ac:dyDescent="0.3">
      <c r="A5" s="96" t="s">
        <v>353</v>
      </c>
      <c r="B5" s="187" t="s">
        <v>529</v>
      </c>
      <c r="C5" s="187" t="s">
        <v>529</v>
      </c>
      <c r="D5" s="189" t="s">
        <v>403</v>
      </c>
      <c r="E5" s="190" t="s">
        <v>414</v>
      </c>
      <c r="F5" s="189" t="s">
        <v>419</v>
      </c>
      <c r="G5" s="188" t="s">
        <v>420</v>
      </c>
      <c r="H5" s="188" t="s">
        <v>396</v>
      </c>
      <c r="I5" s="225">
        <v>50256</v>
      </c>
      <c r="J5" s="204"/>
      <c r="K5" s="204"/>
      <c r="L5" s="226">
        <v>122547</v>
      </c>
      <c r="M5" s="206"/>
      <c r="N5" s="206"/>
      <c r="O5" s="191"/>
      <c r="P5" s="192"/>
      <c r="Q5" s="191"/>
      <c r="R5" s="191"/>
      <c r="S5" s="191"/>
      <c r="T5" s="193"/>
      <c r="U5" s="193"/>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0" t="s">
        <v>347</v>
      </c>
      <c r="F3" s="241"/>
      <c r="G3" s="242"/>
      <c r="H3" s="140" t="s">
        <v>330</v>
      </c>
      <c r="I3" s="240" t="s">
        <v>331</v>
      </c>
      <c r="J3" s="241"/>
      <c r="K3" s="242"/>
      <c r="L3" s="243" t="s">
        <v>325</v>
      </c>
      <c r="M3" s="244"/>
      <c r="N3" s="245"/>
      <c r="O3" s="140" t="s">
        <v>332</v>
      </c>
      <c r="P3" s="140" t="s">
        <v>333</v>
      </c>
      <c r="Q3" s="140" t="s">
        <v>334</v>
      </c>
      <c r="R3" s="140" t="s">
        <v>335</v>
      </c>
      <c r="S3" s="140" t="s">
        <v>336</v>
      </c>
      <c r="T3" s="140" t="s">
        <v>337</v>
      </c>
      <c r="U3" s="140" t="s">
        <v>513</v>
      </c>
      <c r="V3" s="140" t="s">
        <v>338</v>
      </c>
      <c r="W3" s="240" t="s">
        <v>339</v>
      </c>
      <c r="X3" s="242"/>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368</v>
      </c>
      <c r="B4" s="249"/>
      <c r="C4" s="249"/>
      <c r="D4" s="249"/>
      <c r="E4" s="249"/>
      <c r="F4" s="249"/>
      <c r="G4" s="249"/>
    </row>
    <row r="5" spans="1:7" ht="15" customHeight="1" x14ac:dyDescent="0.3">
      <c r="A5" s="125"/>
      <c r="B5" s="250" t="s">
        <v>374</v>
      </c>
      <c r="C5" s="251"/>
      <c r="D5" s="250" t="s">
        <v>375</v>
      </c>
      <c r="E5" s="251"/>
      <c r="F5" s="250" t="s">
        <v>376</v>
      </c>
      <c r="G5" s="251"/>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2026-06-14T01:08:15Z</dcterms:modified>
</cp:coreProperties>
</file>