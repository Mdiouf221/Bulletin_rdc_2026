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14" documentId="13_ncr:1_{DD50ABC6-78BA-4C78-90CD-9AA7CF967276}" xr6:coauthVersionLast="47" xr6:coauthVersionMax="47" xr10:uidLastSave="{4F487F60-F2DD-4508-9944-9533319F9153}"/>
  <bookViews>
    <workbookView xWindow="-28920" yWindow="-4620" windowWidth="29040" windowHeight="15720" firstSheet="1"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955 rentiers d'incapacité et 1.846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42.407 retraités, 524 invalides, 28.355 survivants et 272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D20B033F-AC8C-4A2A-B960-56DE0ACD728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family val="2"/>
          </rPr>
          <t>Hp:</t>
        </r>
        <r>
          <rPr>
            <sz val="9"/>
            <color indexed="81"/>
            <rFont val="Tahoma"/>
            <family val="2"/>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<sst xmlns="http://schemas.openxmlformats.org/spreadsheetml/2006/main" count="3320" uniqueCount="564">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</sst>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
      <sz val="10"/>
      <color rgb="FFFF0000"/>
      <name val="Arial Narrow"/>
      <family val="2"/>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5">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1" fillId="20" borderId="0" xfId="0" applyFont="1" applyFill="1" applyAlignment="1">
      <alignment horizontal="left" vertical="top"/>
    </xf>
    <xf numFmtId="3" fontId="59" fillId="5" borderId="3" xfId="0" applyNumberFormat="1" applyFont="1" applyFill="1" applyBorder="1" applyAlignment="1" applyProtection="1">
      <alignment horizontal="right" vertical="top" wrapText="1"/>
      <protection locked="0"/>
    </xf>
    <xf numFmtId="3" fontId="59" fillId="2" borderId="4" xfId="1" applyNumberFormat="1" applyFont="1" applyFill="1" applyBorder="1" applyAlignment="1" applyProtection="1">
      <alignment horizontal="righ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G6" activePane="bottomRight" state="frozen"/>
      <selection pane="topRight" activeCell="C1" sqref="C1"/>
      <selection pane="bottomLeft" activeCell="A6" sqref="A6"/>
      <selection pane="bottomRight" activeCell="Y2" sqref="Y2"/>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5" t="s">
        <v>514</v>
      </c>
      <c r="F1" s="245"/>
      <c r="G1" s="245"/>
      <c r="H1" s="245"/>
      <c r="I1" s="245"/>
      <c r="J1" s="245"/>
      <c r="K1" s="245"/>
      <c r="L1" s="245"/>
      <c r="M1" s="245"/>
      <c r="N1" s="245"/>
      <c r="O1" s="245"/>
      <c r="P1" s="245"/>
      <c r="Q1" s="245"/>
      <c r="R1" s="245"/>
      <c r="S1" s="245"/>
      <c r="T1" s="245"/>
      <c r="U1" s="245"/>
      <c r="V1" s="245"/>
      <c r="W1" s="262" t="s">
        <v>563</v>
      </c>
      <c r="X1" s="66"/>
      <c r="Y1" s="66"/>
      <c r="Z1" s="66"/>
      <c r="AA1" s="66"/>
      <c r="AB1" s="66"/>
      <c r="AC1" s="59"/>
      <c r="AD1" s="59"/>
      <c r="AE1" s="59"/>
      <c r="AF1" s="80"/>
      <c r="AG1" s="59"/>
      <c r="AH1" s="59"/>
      <c r="AI1" s="59"/>
      <c r="AJ1" s="59"/>
    </row>
    <row r="2" spans="1:37" ht="14.4" x14ac:dyDescent="0.3">
      <c r="A2" s="76" t="s">
        <v>212</v>
      </c>
      <c r="B2" s="221">
        <v>2021</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6" t="s">
        <v>216</v>
      </c>
      <c r="F4" s="246" t="s">
        <v>217</v>
      </c>
      <c r="G4" s="246" t="s">
        <v>218</v>
      </c>
      <c r="H4" s="246" t="s">
        <v>219</v>
      </c>
      <c r="I4" s="246" t="s">
        <v>220</v>
      </c>
      <c r="J4" s="246" t="s">
        <v>221</v>
      </c>
      <c r="K4" s="246" t="s">
        <v>222</v>
      </c>
      <c r="L4" s="246" t="s">
        <v>223</v>
      </c>
      <c r="M4" s="246" t="s">
        <v>224</v>
      </c>
      <c r="N4" s="246" t="s">
        <v>225</v>
      </c>
      <c r="O4" s="246" t="s">
        <v>226</v>
      </c>
      <c r="P4" s="246" t="s">
        <v>227</v>
      </c>
      <c r="Q4" s="246" t="s">
        <v>228</v>
      </c>
      <c r="R4" s="246" t="s">
        <v>229</v>
      </c>
      <c r="S4" s="246" t="s">
        <v>230</v>
      </c>
      <c r="T4" s="246" t="s">
        <v>231</v>
      </c>
      <c r="U4" s="246"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591130</v>
      </c>
      <c r="Y6" s="181"/>
      <c r="Z6" s="181"/>
      <c r="AA6" s="219">
        <f>SUM('Régime 1'!L5:L8)</f>
        <v>1256937.83</v>
      </c>
      <c r="AB6" s="181"/>
      <c r="AC6" s="181"/>
      <c r="AD6" s="173" t="s">
        <v>432</v>
      </c>
      <c r="AE6" s="173" t="s">
        <v>432</v>
      </c>
      <c r="AF6" s="173" t="s">
        <v>443</v>
      </c>
      <c r="AG6" s="222">
        <v>493192839481.90997</v>
      </c>
      <c r="AH6" s="184"/>
      <c r="AI6" s="223">
        <v>926527857162.41003</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591130</v>
      </c>
      <c r="Y7" s="182"/>
      <c r="Z7" s="182"/>
      <c r="AA7" s="264">
        <v>2081</v>
      </c>
      <c r="AB7" s="182"/>
      <c r="AC7" s="182"/>
      <c r="AD7" s="173" t="s">
        <v>432</v>
      </c>
      <c r="AE7" s="173" t="s">
        <v>432</v>
      </c>
      <c r="AF7" s="173" t="s">
        <v>443</v>
      </c>
      <c r="AG7" s="222">
        <v>493192839481.90997</v>
      </c>
      <c r="AH7" s="185"/>
      <c r="AI7" s="223">
        <v>926527857162.41003</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591130</v>
      </c>
      <c r="Y8" s="181"/>
      <c r="Z8" s="181"/>
      <c r="AA8" s="219">
        <v>71558</v>
      </c>
      <c r="AB8" s="181"/>
      <c r="AC8" s="181"/>
      <c r="AD8" s="173" t="s">
        <v>432</v>
      </c>
      <c r="AE8" s="173" t="s">
        <v>432</v>
      </c>
      <c r="AF8" s="173" t="s">
        <v>443</v>
      </c>
      <c r="AG8" s="222">
        <v>493192839481.90997</v>
      </c>
      <c r="AH8" s="184"/>
      <c r="AI8" s="223">
        <v>926527857162.41003</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19945016160</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L7" sqref="L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2021</v>
      </c>
      <c r="E1" s="262" t="s">
        <v>563</v>
      </c>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591130</v>
      </c>
      <c r="J5" s="204"/>
      <c r="K5" s="204"/>
      <c r="L5" s="226">
        <v>184</v>
      </c>
      <c r="M5" s="206"/>
      <c r="N5" s="206"/>
      <c r="O5" s="191" t="s">
        <v>425</v>
      </c>
      <c r="P5" s="192" t="s">
        <v>430</v>
      </c>
      <c r="Q5" s="191"/>
      <c r="R5" s="191"/>
      <c r="S5" s="191" t="s">
        <v>560</v>
      </c>
      <c r="T5" s="193" t="s">
        <v>554</v>
      </c>
      <c r="U5" s="193"/>
      <c r="V5" s="193"/>
      <c r="W5" s="194"/>
      <c r="X5" s="194"/>
      <c r="Y5" s="193"/>
      <c r="Z5" s="202">
        <v>493192839481.90997</v>
      </c>
      <c r="AA5" s="188"/>
      <c r="AB5" s="97"/>
    </row>
    <row r="6" spans="1:28" s="63" customFormat="1" ht="27.6" x14ac:dyDescent="0.3">
      <c r="A6" s="96" t="s">
        <v>354</v>
      </c>
      <c r="B6" s="195" t="s">
        <v>556</v>
      </c>
      <c r="C6" s="195" t="s">
        <v>556</v>
      </c>
      <c r="D6" s="197" t="s">
        <v>405</v>
      </c>
      <c r="E6" s="190" t="s">
        <v>559</v>
      </c>
      <c r="F6" s="189" t="s">
        <v>417</v>
      </c>
      <c r="G6" s="188" t="s">
        <v>421</v>
      </c>
      <c r="H6" s="188" t="s">
        <v>396</v>
      </c>
      <c r="I6" s="225">
        <v>591130</v>
      </c>
      <c r="J6" s="207"/>
      <c r="K6" s="207"/>
      <c r="L6" s="227">
        <v>167</v>
      </c>
      <c r="M6" s="208"/>
      <c r="N6" s="208"/>
      <c r="O6" s="191" t="s">
        <v>425</v>
      </c>
      <c r="P6" s="192" t="s">
        <v>430</v>
      </c>
      <c r="Q6" s="192"/>
      <c r="R6" s="192"/>
      <c r="S6" s="192" t="s">
        <v>538</v>
      </c>
      <c r="T6" s="193" t="s">
        <v>554</v>
      </c>
      <c r="U6" s="200"/>
      <c r="V6" s="200"/>
      <c r="W6" s="201"/>
      <c r="X6" s="201"/>
      <c r="Y6" s="200"/>
      <c r="Z6" s="202">
        <v>493192839481.90997</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591130</v>
      </c>
      <c r="J7" s="207"/>
      <c r="K7" s="207"/>
      <c r="L7" s="263">
        <f>3.17*396399</f>
        <v>1256584.83</v>
      </c>
      <c r="M7" s="208"/>
      <c r="N7" s="208"/>
      <c r="O7" s="191" t="s">
        <v>425</v>
      </c>
      <c r="P7" s="192" t="s">
        <v>430</v>
      </c>
      <c r="Q7" s="192"/>
      <c r="R7" s="192"/>
      <c r="S7" s="192" t="s">
        <v>561</v>
      </c>
      <c r="T7" s="193" t="s">
        <v>554</v>
      </c>
      <c r="U7" s="200"/>
      <c r="V7" s="200"/>
      <c r="W7" s="201"/>
      <c r="X7" s="201"/>
      <c r="Y7" s="200"/>
      <c r="Z7" s="202">
        <v>493192839481.90997</v>
      </c>
      <c r="AA7" s="196"/>
      <c r="AB7" s="97"/>
    </row>
    <row r="8" spans="1:28" s="63" customFormat="1" ht="27.6" x14ac:dyDescent="0.3">
      <c r="A8" s="96" t="s">
        <v>356</v>
      </c>
      <c r="B8" s="195" t="s">
        <v>558</v>
      </c>
      <c r="C8" s="195" t="s">
        <v>558</v>
      </c>
      <c r="D8" s="197" t="s">
        <v>402</v>
      </c>
      <c r="E8" s="190" t="s">
        <v>559</v>
      </c>
      <c r="F8" s="189" t="s">
        <v>417</v>
      </c>
      <c r="G8" s="188" t="s">
        <v>421</v>
      </c>
      <c r="H8" s="188" t="s">
        <v>396</v>
      </c>
      <c r="I8" s="225">
        <v>591130</v>
      </c>
      <c r="J8" s="207"/>
      <c r="K8" s="207"/>
      <c r="L8" s="227">
        <v>2</v>
      </c>
      <c r="M8" s="208"/>
      <c r="N8" s="208"/>
      <c r="O8" s="191" t="s">
        <v>425</v>
      </c>
      <c r="P8" s="192" t="s">
        <v>430</v>
      </c>
      <c r="Q8" s="192"/>
      <c r="R8" s="192"/>
      <c r="S8" s="192" t="s">
        <v>538</v>
      </c>
      <c r="T8" s="193" t="s">
        <v>562</v>
      </c>
      <c r="U8" s="200"/>
      <c r="V8" s="200"/>
      <c r="W8" s="201"/>
      <c r="X8" s="201"/>
      <c r="Y8" s="200"/>
      <c r="Z8" s="202">
        <v>493192839481.90997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6" activePane="bottomRight" state="frozen"/>
      <selection pane="topRight" activeCell="C1" sqref="C1"/>
      <selection pane="bottomLeft" activeCell="A5" sqref="A5"/>
      <selection pane="bottomRight" activeCell="E13" sqref="E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591130</v>
      </c>
      <c r="J5" s="204"/>
      <c r="K5" s="204"/>
      <c r="L5" s="226">
        <v>955</v>
      </c>
      <c r="M5" s="206"/>
      <c r="N5" s="206"/>
      <c r="O5" s="191" t="s">
        <v>425</v>
      </c>
      <c r="P5" s="192" t="s">
        <v>430</v>
      </c>
      <c r="Q5" s="229">
        <v>320000</v>
      </c>
      <c r="R5" s="191"/>
      <c r="S5" s="191"/>
      <c r="T5" s="193" t="s">
        <v>554</v>
      </c>
      <c r="U5" s="193"/>
      <c r="V5" s="193"/>
      <c r="W5" s="194"/>
      <c r="X5" s="194"/>
      <c r="Y5" s="193"/>
      <c r="Z5" s="202">
        <v>493192839481.90997</v>
      </c>
      <c r="AA5" s="188"/>
      <c r="AB5" s="97"/>
    </row>
    <row r="6" spans="1:28" s="63" customFormat="1" ht="30.6" x14ac:dyDescent="0.3">
      <c r="A6" s="96" t="s">
        <v>354</v>
      </c>
      <c r="B6" s="233" t="s">
        <v>543</v>
      </c>
      <c r="C6" s="233" t="s">
        <v>543</v>
      </c>
      <c r="D6" s="189" t="s">
        <v>400</v>
      </c>
      <c r="E6" s="190" t="s">
        <v>547</v>
      </c>
      <c r="F6" s="189" t="s">
        <v>419</v>
      </c>
      <c r="G6" s="188" t="s">
        <v>421</v>
      </c>
      <c r="H6" s="188" t="s">
        <v>396</v>
      </c>
      <c r="I6" s="225">
        <v>591130</v>
      </c>
      <c r="J6" s="207"/>
      <c r="K6" s="207"/>
      <c r="L6" s="227">
        <v>1845</v>
      </c>
      <c r="M6" s="208"/>
      <c r="N6" s="208"/>
      <c r="O6" s="191" t="s">
        <v>425</v>
      </c>
      <c r="P6" s="192" t="s">
        <v>430</v>
      </c>
      <c r="Q6" s="229">
        <v>320000</v>
      </c>
      <c r="R6" s="192"/>
      <c r="S6" s="192"/>
      <c r="T6" s="193" t="s">
        <v>554</v>
      </c>
      <c r="U6" s="200"/>
      <c r="V6" s="200"/>
      <c r="W6" s="201"/>
      <c r="X6" s="201"/>
      <c r="Y6" s="200"/>
      <c r="Z6" s="202">
        <v>493192839481.90997</v>
      </c>
      <c r="AA6" s="196"/>
      <c r="AB6" s="97"/>
    </row>
    <row r="7" spans="1:28" s="63" customFormat="1" ht="30.6" x14ac:dyDescent="0.3">
      <c r="A7" s="96" t="s">
        <v>355</v>
      </c>
      <c r="B7" s="234" t="s">
        <v>544</v>
      </c>
      <c r="C7" s="234" t="s">
        <v>544</v>
      </c>
      <c r="D7" s="189" t="s">
        <v>225</v>
      </c>
      <c r="E7" s="190" t="s">
        <v>547</v>
      </c>
      <c r="F7" s="189" t="s">
        <v>417</v>
      </c>
      <c r="G7" s="188" t="s">
        <v>421</v>
      </c>
      <c r="H7" s="188" t="s">
        <v>396</v>
      </c>
      <c r="I7" s="225">
        <v>591130</v>
      </c>
      <c r="J7" s="207"/>
      <c r="K7" s="207"/>
      <c r="L7" s="227"/>
      <c r="M7" s="208"/>
      <c r="N7" s="208"/>
      <c r="O7" s="191" t="s">
        <v>425</v>
      </c>
      <c r="P7" s="192" t="s">
        <v>430</v>
      </c>
      <c r="Q7" s="229">
        <v>320000</v>
      </c>
      <c r="R7" s="192"/>
      <c r="S7" s="192"/>
      <c r="T7" s="193" t="s">
        <v>554</v>
      </c>
      <c r="U7" s="200"/>
      <c r="V7" s="200"/>
      <c r="W7" s="201"/>
      <c r="X7" s="201"/>
      <c r="Y7" s="200"/>
      <c r="Z7" s="202">
        <v>493192839481.90997</v>
      </c>
      <c r="AA7" s="196"/>
      <c r="AB7" s="97"/>
    </row>
    <row r="8" spans="1:28" s="63" customFormat="1" ht="30.6" x14ac:dyDescent="0.3">
      <c r="A8" s="96" t="s">
        <v>356</v>
      </c>
      <c r="B8" s="235" t="s">
        <v>545</v>
      </c>
      <c r="C8" s="235" t="s">
        <v>545</v>
      </c>
      <c r="D8" s="189" t="s">
        <v>405</v>
      </c>
      <c r="E8" s="190" t="s">
        <v>547</v>
      </c>
      <c r="F8" s="189" t="s">
        <v>417</v>
      </c>
      <c r="G8" s="188" t="s">
        <v>421</v>
      </c>
      <c r="H8" s="188" t="s">
        <v>396</v>
      </c>
      <c r="I8" s="225">
        <v>591130</v>
      </c>
      <c r="J8" s="207"/>
      <c r="K8" s="207"/>
      <c r="L8" s="227">
        <v>849</v>
      </c>
      <c r="M8" s="208"/>
      <c r="N8" s="208"/>
      <c r="O8" s="191" t="s">
        <v>425</v>
      </c>
      <c r="P8" s="192" t="s">
        <v>431</v>
      </c>
      <c r="Q8" s="229">
        <v>320000</v>
      </c>
      <c r="R8" s="192"/>
      <c r="S8" s="192"/>
      <c r="T8" s="193" t="s">
        <v>554</v>
      </c>
      <c r="U8" s="200"/>
      <c r="V8" s="200"/>
      <c r="W8" s="201"/>
      <c r="X8" s="201"/>
      <c r="Y8" s="200"/>
      <c r="Z8" s="202">
        <v>493192839481.90997</v>
      </c>
      <c r="AA8" s="196"/>
      <c r="AB8" s="97"/>
    </row>
    <row r="9" spans="1:28" s="63" customFormat="1" ht="30.6" x14ac:dyDescent="0.3">
      <c r="A9" s="96" t="s">
        <v>357</v>
      </c>
      <c r="B9" s="235" t="s">
        <v>546</v>
      </c>
      <c r="C9" s="235" t="s">
        <v>546</v>
      </c>
      <c r="D9" s="189" t="s">
        <v>405</v>
      </c>
      <c r="E9" s="190" t="s">
        <v>547</v>
      </c>
      <c r="F9" s="189" t="s">
        <v>417</v>
      </c>
      <c r="G9" s="188" t="s">
        <v>421</v>
      </c>
      <c r="H9" s="188" t="s">
        <v>396</v>
      </c>
      <c r="I9" s="225">
        <v>591130</v>
      </c>
      <c r="J9" s="207"/>
      <c r="K9" s="207"/>
      <c r="L9" s="227"/>
      <c r="M9" s="208"/>
      <c r="N9" s="208"/>
      <c r="O9" s="191" t="s">
        <v>425</v>
      </c>
      <c r="P9" s="192" t="s">
        <v>430</v>
      </c>
      <c r="Q9" s="229">
        <v>320000</v>
      </c>
      <c r="R9" s="192"/>
      <c r="S9" s="192"/>
      <c r="T9" s="193" t="s">
        <v>554</v>
      </c>
      <c r="U9" s="200"/>
      <c r="V9" s="200"/>
      <c r="W9" s="201"/>
      <c r="X9" s="201"/>
      <c r="Y9" s="200"/>
      <c r="Z9" s="202">
        <v>493192839481.90997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591130</v>
      </c>
      <c r="J10" s="207"/>
      <c r="K10" s="207"/>
      <c r="L10" s="209"/>
      <c r="M10" s="208"/>
      <c r="N10" s="208"/>
      <c r="O10" s="192" t="s">
        <v>426</v>
      </c>
      <c r="P10" s="192"/>
      <c r="Q10" s="192"/>
      <c r="R10" s="192"/>
      <c r="S10" s="192"/>
      <c r="T10" s="193" t="s">
        <v>554</v>
      </c>
      <c r="U10" s="200"/>
      <c r="V10" s="200"/>
      <c r="W10" s="201"/>
      <c r="X10" s="201"/>
      <c r="Y10" s="200"/>
      <c r="Z10" s="202">
        <v>493192839481.90997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591130</v>
      </c>
      <c r="J11" s="207"/>
      <c r="K11" s="207"/>
      <c r="L11" s="208"/>
      <c r="M11" s="208"/>
      <c r="N11" s="208"/>
      <c r="O11" s="192" t="s">
        <v>426</v>
      </c>
      <c r="P11" s="192"/>
      <c r="Q11" s="192"/>
      <c r="R11" s="192"/>
      <c r="S11" s="192"/>
      <c r="T11" s="193" t="s">
        <v>554</v>
      </c>
      <c r="U11" s="200"/>
      <c r="V11" s="200"/>
      <c r="W11" s="201"/>
      <c r="X11" s="201"/>
      <c r="Y11" s="200"/>
      <c r="Z11" s="202">
        <v>493192839481.90997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591130</v>
      </c>
      <c r="J12" s="207"/>
      <c r="K12" s="207"/>
      <c r="L12" s="208"/>
      <c r="M12" s="208"/>
      <c r="N12" s="208"/>
      <c r="O12" s="192" t="s">
        <v>426</v>
      </c>
      <c r="P12" s="192"/>
      <c r="Q12" s="192"/>
      <c r="R12" s="192"/>
      <c r="S12" s="192"/>
      <c r="T12" s="193" t="s">
        <v>554</v>
      </c>
      <c r="U12" s="200"/>
      <c r="V12" s="200"/>
      <c r="W12" s="201"/>
      <c r="X12" s="201"/>
      <c r="Y12" s="200"/>
      <c r="Z12" s="202">
        <v>493192839481.90997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591130</v>
      </c>
      <c r="J13" s="207"/>
      <c r="K13" s="207"/>
      <c r="L13" s="208"/>
      <c r="M13" s="208"/>
      <c r="N13" s="208"/>
      <c r="O13" s="192" t="s">
        <v>426</v>
      </c>
      <c r="P13" s="192"/>
      <c r="Q13" s="192"/>
      <c r="R13" s="192"/>
      <c r="S13" s="192"/>
      <c r="T13" s="193" t="s">
        <v>554</v>
      </c>
      <c r="U13" s="200"/>
      <c r="V13" s="200"/>
      <c r="W13" s="201"/>
      <c r="X13" s="201"/>
      <c r="Y13" s="200"/>
      <c r="Z13" s="202">
        <v>493192839481.90997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591130</v>
      </c>
      <c r="J14" s="207"/>
      <c r="K14" s="207"/>
      <c r="L14" s="208"/>
      <c r="M14" s="208"/>
      <c r="N14" s="208"/>
      <c r="O14" s="192" t="s">
        <v>426</v>
      </c>
      <c r="P14" s="192"/>
      <c r="Q14" s="192"/>
      <c r="R14" s="192"/>
      <c r="S14" s="192"/>
      <c r="T14" s="193" t="s">
        <v>554</v>
      </c>
      <c r="U14" s="200"/>
      <c r="V14" s="200"/>
      <c r="W14" s="201"/>
      <c r="X14" s="201"/>
      <c r="Y14" s="200"/>
      <c r="Z14" s="202">
        <v>493192839481.90997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591130</v>
      </c>
      <c r="J15" s="207"/>
      <c r="K15" s="207"/>
      <c r="L15" s="208"/>
      <c r="M15" s="208"/>
      <c r="N15" s="208"/>
      <c r="O15" s="192" t="s">
        <v>426</v>
      </c>
      <c r="P15" s="192"/>
      <c r="Q15" s="192"/>
      <c r="R15" s="192"/>
      <c r="S15" s="192"/>
      <c r="T15" s="193" t="s">
        <v>554</v>
      </c>
      <c r="U15" s="200"/>
      <c r="V15" s="200"/>
      <c r="W15" s="201"/>
      <c r="X15" s="201"/>
      <c r="Y15" s="200"/>
      <c r="Z15" s="202">
        <v>493192839481.90997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591130</v>
      </c>
      <c r="J5" s="204"/>
      <c r="K5" s="204"/>
      <c r="L5" s="226">
        <v>42407</v>
      </c>
      <c r="M5" s="206"/>
      <c r="N5" s="206"/>
      <c r="O5" s="191" t="s">
        <v>425</v>
      </c>
      <c r="P5" s="192" t="s">
        <v>430</v>
      </c>
      <c r="Q5" s="229">
        <v>320000</v>
      </c>
      <c r="R5" s="191"/>
      <c r="S5" s="191"/>
      <c r="T5" s="193" t="s">
        <v>540</v>
      </c>
      <c r="U5" s="231"/>
      <c r="V5" s="231"/>
      <c r="W5" s="231" t="s">
        <v>541</v>
      </c>
      <c r="X5" s="231" t="s">
        <v>541</v>
      </c>
      <c r="Y5" s="193"/>
      <c r="Z5" s="202">
        <v>493192839481.90997</v>
      </c>
      <c r="AA5" s="188"/>
      <c r="AB5" s="97"/>
    </row>
    <row r="6" spans="1:28" s="63" customFormat="1" ht="13.8" x14ac:dyDescent="0.3">
      <c r="A6" s="96" t="s">
        <v>354</v>
      </c>
      <c r="B6" s="195" t="s">
        <v>521</v>
      </c>
      <c r="C6" s="195" t="s">
        <v>521</v>
      </c>
      <c r="D6" s="197" t="s">
        <v>399</v>
      </c>
      <c r="E6" s="190" t="s">
        <v>411</v>
      </c>
      <c r="F6" s="199" t="s">
        <v>417</v>
      </c>
      <c r="G6" s="188" t="s">
        <v>421</v>
      </c>
      <c r="H6" s="188" t="s">
        <v>396</v>
      </c>
      <c r="I6" s="225">
        <v>591130</v>
      </c>
      <c r="J6" s="207"/>
      <c r="K6" s="207"/>
      <c r="L6" s="227">
        <v>524</v>
      </c>
      <c r="M6" s="208"/>
      <c r="N6" s="208"/>
      <c r="O6" s="192" t="s">
        <v>425</v>
      </c>
      <c r="P6" s="192" t="s">
        <v>430</v>
      </c>
      <c r="Q6" s="229">
        <v>320000</v>
      </c>
      <c r="R6" s="192"/>
      <c r="S6" s="192"/>
      <c r="T6" s="193" t="s">
        <v>540</v>
      </c>
      <c r="U6" s="199"/>
      <c r="V6" s="199"/>
      <c r="W6" s="199"/>
      <c r="X6" s="199"/>
      <c r="Y6" s="200"/>
      <c r="Z6" s="202">
        <v>493192839481.90997</v>
      </c>
      <c r="AA6" s="196"/>
      <c r="AB6" s="97"/>
    </row>
    <row r="7" spans="1:28" s="63" customFormat="1" ht="13.8" x14ac:dyDescent="0.3">
      <c r="A7" s="96" t="s">
        <v>355</v>
      </c>
      <c r="B7" s="195" t="s">
        <v>532</v>
      </c>
      <c r="C7" s="195" t="s">
        <v>532</v>
      </c>
      <c r="D7" s="197" t="s">
        <v>400</v>
      </c>
      <c r="E7" s="190" t="s">
        <v>411</v>
      </c>
      <c r="F7" s="199" t="s">
        <v>419</v>
      </c>
      <c r="G7" s="188" t="s">
        <v>421</v>
      </c>
      <c r="H7" s="188" t="s">
        <v>396</v>
      </c>
      <c r="I7" s="225">
        <v>591130</v>
      </c>
      <c r="J7" s="207"/>
      <c r="K7" s="207"/>
      <c r="L7" s="227">
        <v>28355</v>
      </c>
      <c r="M7" s="208"/>
      <c r="N7" s="208"/>
      <c r="O7" s="192" t="s">
        <v>425</v>
      </c>
      <c r="P7" s="192" t="s">
        <v>430</v>
      </c>
      <c r="Q7" s="229">
        <v>320000</v>
      </c>
      <c r="R7" s="192"/>
      <c r="S7" s="192"/>
      <c r="T7" s="193" t="s">
        <v>540</v>
      </c>
      <c r="U7" s="199"/>
      <c r="V7" s="199"/>
      <c r="W7" s="199"/>
      <c r="X7" s="199"/>
      <c r="Y7" s="200"/>
      <c r="Z7" s="202">
        <v>493192839481.90997</v>
      </c>
      <c r="AA7" s="196"/>
      <c r="AB7" s="97"/>
    </row>
    <row r="8" spans="1:28" s="63" customFormat="1" ht="13.8" x14ac:dyDescent="0.3">
      <c r="A8" s="96" t="s">
        <v>356</v>
      </c>
      <c r="B8" s="195" t="s">
        <v>533</v>
      </c>
      <c r="C8" s="195" t="s">
        <v>533</v>
      </c>
      <c r="D8" s="197" t="s">
        <v>216</v>
      </c>
      <c r="E8" s="190" t="s">
        <v>411</v>
      </c>
      <c r="F8" s="199" t="s">
        <v>418</v>
      </c>
      <c r="G8" s="188" t="s">
        <v>421</v>
      </c>
      <c r="H8" s="188" t="s">
        <v>396</v>
      </c>
      <c r="I8" s="225">
        <v>591130</v>
      </c>
      <c r="J8" s="207"/>
      <c r="K8" s="207"/>
      <c r="L8" s="227"/>
      <c r="M8" s="208"/>
      <c r="N8" s="208"/>
      <c r="O8" s="192" t="s">
        <v>425</v>
      </c>
      <c r="P8" s="192"/>
      <c r="Q8" s="192"/>
      <c r="R8" s="192"/>
      <c r="S8" s="192" t="s">
        <v>539</v>
      </c>
      <c r="T8" s="200"/>
      <c r="U8" s="199"/>
      <c r="V8" s="199"/>
      <c r="W8" s="199"/>
      <c r="X8" s="199"/>
      <c r="Y8" s="200"/>
      <c r="Z8" s="202">
        <v>493192839481.90997</v>
      </c>
      <c r="AA8" s="196"/>
      <c r="AB8" s="97"/>
    </row>
    <row r="9" spans="1:28" s="63" customFormat="1" ht="13.8" x14ac:dyDescent="0.3">
      <c r="A9" s="96" t="s">
        <v>357</v>
      </c>
      <c r="B9" s="195" t="s">
        <v>534</v>
      </c>
      <c r="C9" s="195" t="s">
        <v>534</v>
      </c>
      <c r="D9" s="197" t="s">
        <v>400</v>
      </c>
      <c r="E9" s="190" t="s">
        <v>411</v>
      </c>
      <c r="F9" s="199" t="s">
        <v>419</v>
      </c>
      <c r="G9" s="188" t="s">
        <v>421</v>
      </c>
      <c r="H9" s="188" t="s">
        <v>396</v>
      </c>
      <c r="I9" s="225">
        <v>591130</v>
      </c>
      <c r="J9" s="207"/>
      <c r="K9" s="207"/>
      <c r="L9" s="227"/>
      <c r="M9" s="208"/>
      <c r="N9" s="208"/>
      <c r="O9" s="192" t="s">
        <v>425</v>
      </c>
      <c r="P9" s="192"/>
      <c r="Q9" s="192"/>
      <c r="R9" s="192"/>
      <c r="S9" s="192" t="s">
        <v>539</v>
      </c>
      <c r="T9" s="200"/>
      <c r="U9" s="199"/>
      <c r="V9" s="199"/>
      <c r="W9" s="199"/>
      <c r="X9" s="199"/>
      <c r="Y9" s="200"/>
      <c r="Z9" s="202">
        <v>493192839481.90997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591130</v>
      </c>
      <c r="J10" s="207"/>
      <c r="K10" s="207"/>
      <c r="L10" s="228">
        <v>272</v>
      </c>
      <c r="M10" s="208"/>
      <c r="N10" s="208"/>
      <c r="O10" s="192" t="s">
        <v>425</v>
      </c>
      <c r="P10" s="192" t="s">
        <v>430</v>
      </c>
      <c r="Q10" s="192"/>
      <c r="R10" s="192"/>
      <c r="S10" s="192"/>
      <c r="T10" s="193" t="s">
        <v>540</v>
      </c>
      <c r="U10" s="199"/>
      <c r="V10" s="199"/>
      <c r="W10" s="199"/>
      <c r="X10" s="199"/>
      <c r="Y10" s="200"/>
      <c r="Z10" s="202">
        <v>493192839481.90997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493192839481.90997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2026-09-03T06:34:10Z</dcterms:modified>
</cp:coreProperties>
</file>