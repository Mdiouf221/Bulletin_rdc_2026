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E757BCB4-07E6-AE0B-56E0-F0EEF7A6E26C}"/>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
    </mc:Choice>
  </mc:AlternateContent>
  <xr:revisionPtr revIDLastSave="21" documentId="13_ncr:1_{54B01A82-D610-45D9-A4C7-847B7A91D909}" xr6:coauthVersionLast="47" xr6:coauthVersionMax="47" xr10:uidLastSave="{871E9E1A-7C80-4BA4-9644-6E52DD2EFB67}"/>
  <bookViews>
    <workbookView xWindow="28680" yWindow="-7905"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6" i="9" l="1"/>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I6" authorId="0" shapeId="0" xr:uid="{5C7AE1E8-4E31-4C7A-AC59-626D311EDE24}">
      <text>
        <r>
          <rPr>
            <b/>
            <sz val="9"/>
            <color indexed="81"/>
            <rFont val="Tahoma"/>
            <charset val="1"/>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AA6" authorId="0" shapeId="0" xr:uid="{AEAB981A-D413-4EAA-B081-D6BF4B3905E8}">
      <text>
        <r>
          <rPr>
            <b/>
            <sz val="9"/>
            <color indexed="81"/>
            <rFont val="Tahoma"/>
            <family val="2"/>
          </rPr>
          <t>Hp:</t>
        </r>
        <r>
          <rPr>
            <sz val="9"/>
            <color indexed="81"/>
            <rFont val="Tahoma"/>
            <family val="2"/>
          </rPr>
          <t xml:space="preserve">
267.445 enfants bénéficiaires des allocations familiales, pas de statistiques pour les femmes bénéficiaires des indemnités journalières de congé de maternité, les femmes bénéficiaires des allocations de maternité et les femmes bénéficiaires des allocations prénatales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AA7" authorId="0" shapeId="0" xr:uid="{8E96AA5D-C209-4504-B69C-017A5B3F8FD5}">
      <text>
        <r>
          <rPr>
            <b/>
            <sz val="9"/>
            <color indexed="81"/>
            <rFont val="Tahoma"/>
            <family val="2"/>
          </rPr>
          <t>Hp:</t>
        </r>
        <r>
          <rPr>
            <sz val="9"/>
            <color indexed="81"/>
            <rFont val="Tahoma"/>
            <family val="2"/>
          </rPr>
          <t xml:space="preserve">
1.020 rentiers d'incapacité et 1.608 rentiers des survivants.</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AA8" authorId="0" shapeId="0" xr:uid="{20AE3130-A8C7-432D-A7A5-D3E9C814714A}">
      <text>
        <r>
          <rPr>
            <b/>
            <sz val="9"/>
            <color indexed="81"/>
            <rFont val="Tahoma"/>
            <family val="2"/>
          </rPr>
          <t>Hp:</t>
        </r>
        <r>
          <rPr>
            <sz val="9"/>
            <color indexed="81"/>
            <rFont val="Tahoma"/>
            <family val="2"/>
          </rPr>
          <t xml:space="preserve">
39.465 retraités, 568 invalides, 25.720 survivants et 78 bénéficiaires de retraite anticipée.</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0" shapeId="0" xr:uid="{88869565-1B69-49EF-AC92-49E0B38B911C}">
      <text>
        <r>
          <rPr>
            <b/>
            <sz val="9"/>
            <color indexed="81"/>
            <rFont val="Tahoma"/>
            <family val="2"/>
          </rPr>
          <t>Hp:</t>
        </r>
        <r>
          <rPr>
            <sz val="9"/>
            <color indexed="81"/>
            <rFont val="Tahoma"/>
            <family val="2"/>
          </rPr>
          <t xml:space="preserve">
Bénéficiaires de frais funéraires en 2022</t>
        </r>
      </text>
    </comment>
    <comment ref="AG9" authorId="0" shapeId="0" xr:uid="{EFC6F068-9790-4869-ACD6-9F0F435046EE}">
      <text>
        <r>
          <rPr>
            <sz val="9"/>
            <color indexed="81"/>
            <rFont val="Tahoma"/>
            <family val="2"/>
          </rPr>
          <t>le montant des frais funéraires payés en 2021. Ce montant est inclus dans les dépenses globales.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W5" authorId="0" shapeId="0" xr:uid="{895B2DD8-EF0B-4CBA-B469-9C65D2B17EB1}">
      <text>
        <r>
          <rPr>
            <b/>
            <sz val="9"/>
            <color indexed="81"/>
            <rFont val="Tahoma"/>
            <charset val="1"/>
          </rPr>
          <t>Hp:</t>
        </r>
        <r>
          <rPr>
            <sz val="9"/>
            <color indexed="81"/>
            <rFont val="Tahoma"/>
            <charset val="1"/>
          </rPr>
          <t xml:space="preserve">
l'âge d'ouverture à la retraite est à 60 ans pour les hommes et les femmes, tandis que le départ définitif à la retraite est à 65 ans.</t>
        </r>
      </text>
    </comment>
    <comment ref="Z5" authorId="0" shapeId="0" xr:uid="{375E461B-64B9-4388-9D42-A7E6965CD151}">
      <text>
        <r>
          <rPr>
            <b/>
            <sz val="9"/>
            <color indexed="81"/>
            <rFont val="Tahoma"/>
            <family val="2"/>
          </rPr>
          <t>Hp:</t>
        </r>
        <r>
          <rPr>
            <sz val="9"/>
            <color indexed="81"/>
            <rFont val="Tahoma"/>
            <family val="2"/>
          </rPr>
          <t xml:space="preserve">
Total des dépenses engagées, y compris les frais administratifs).</t>
        </r>
      </text>
    </comment>
    <comment ref="F6" authorId="0" shapeId="0" xr:uid="{DBB2010B-062A-4DC6-9928-AB5CAB36DBDE}">
      <text>
        <r>
          <rPr>
            <b/>
            <sz val="9"/>
            <color indexed="81"/>
            <rFont val="Tahoma"/>
            <family val="2"/>
          </rPr>
          <t>Hp:</t>
        </r>
        <r>
          <rPr>
            <sz val="9"/>
            <color indexed="81"/>
            <rFont val="Tahoma"/>
            <family val="2"/>
          </rPr>
          <t xml:space="preserve">
Veuves/veufs et orphelins.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F6A1B1C2-333A-477C-8E61-EE642585980D}">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I5" authorId="0" shapeId="0" xr:uid="{4698D89F-2FEB-411B-8635-1E47CE41E9BC}">
      <text>
        <r>
          <rPr>
            <b/>
            <sz val="9"/>
            <color indexed="81"/>
            <rFont val="Tahoma"/>
            <family val="2"/>
          </rPr>
          <t>Hp:</t>
        </r>
        <r>
          <rPr>
            <sz val="9"/>
            <color indexed="81"/>
            <rFont val="Tahoma"/>
            <family val="2"/>
          </rPr>
          <t xml:space="preserve">
Effectif des travailleurs cotisants au régime général de la sécurité sociale.</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8361C554-9AF6-4ECC-8D99-8F9BAD8101B1}">
      <text>
        <r>
          <rPr>
            <b/>
            <sz val="9"/>
            <color indexed="81"/>
            <rFont val="Tahoma"/>
            <charset val="1"/>
          </rPr>
          <t>Hp:</t>
        </r>
        <r>
          <rPr>
            <sz val="9"/>
            <color indexed="81"/>
            <rFont val="Tahoma"/>
            <charset val="1"/>
          </rPr>
          <t xml:space="preserve">
dépenses totales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<sst xmlns="http://schemas.openxmlformats.org/spreadsheetml/2006/main" count="3321" uniqueCount="564">
  <si>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</si>
  <si>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</si>
  <si>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</si>
  <si>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</si>
  <si>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</si>
  <si>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</si>
  <si>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</si>
  <si>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</si>
  <si>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</si>
  <si>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</si>
  <si>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</si>
  <si>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</si>
  <si>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</si>
  <si>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</si>
  <si>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</si>
  <si>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</si>
  <si>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</si>
  <si>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</si>
  <si>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</si>
  <si>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</si>
  <si>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</si>
  <si>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</si>
  <si>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</si>
  <si>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</si>
  <si>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</si>
  <si>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</si>
  <si>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</si>
  <si>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</si>
  <si>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</si>
  <si>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</si>
  <si>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</si>
  <si>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</si>
  <si>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</si>
  <si>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</si>
  <si>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</si>
  <si>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</si>
  <si>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</si>
  <si>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</si>
  <si>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</si>
  <si>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</si>
  <si>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</si>
  <si>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</si>
  <si>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</si>
  <si>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</si>
  <si>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</si>
  <si>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</si>
  <si>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</si>
  <si>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</si>
  <si>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</si>
  <si>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</si>
  <si>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</si>
  <si>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</si>
  <si>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</si>
  <si>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</si>
  <si>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</si>
  <si>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</si>
  <si>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</si>
  <si>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</si>
  <si>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</si>
  <si>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</si>
  <si>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</si>
  <si>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</si>
  <si>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</si>
  <si>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</si>
  <si>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</si>
  <si>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</si>
  <si>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</si>
  <si>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</si>
  <si>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</si>
  <si>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</si>
  <si>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</si>
  <si>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</si>
  <si>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</si>
  <si>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</si>
  <si>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</si>
  <si>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</si>
  <si>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</si>
  <si>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</si>
  <si>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</si>
  <si>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</si>
  <si>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</si>
  <si>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</si>
  <si>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</si>
  <si>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</si>
  <si>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</si>
  <si>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</si>
  <si>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</si>
  <si>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</si>
  <si>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</si>
  <si>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</si>
  <si>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</si>
  <si>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</si>
  <si>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</si>
  <si>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</si>
  <si>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</si>
  <si>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</si>
  <si>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</si>
  <si>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</si>
  <si>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</si>
  <si>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</si>
  <si>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</si>
  <si>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</si>
  <si>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</si>
  <si>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</si>
  <si>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</si>
  <si>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</si>
  <si>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</si>
  <si>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</si>
  <si>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</si>
  <si>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</si>
  <si>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</si>
  <si>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</si>
  <si>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</si>
  <si>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</si>
  <si>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</si>
  <si>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</si>
  <si>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</si>
  <si>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</si>
  <si>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</si>
  <si>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</si>
  <si>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</si>
  <si>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</si>
  <si>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</si>
  <si>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</si>
  <si>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</si>
  <si>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</si>
  <si>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</si>
  <si>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</si>
  <si>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</si>
  <si>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</si>
  <si>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</si>
  <si>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</si>
  <si>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</si>
  <si>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</si>
  <si>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</si>
  <si>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</si>
  <si>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</si>
  <si>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</si>
  <si>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</si>
  <si>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</si>
  <si>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</si>
  <si>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</si>
  <si>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</si>
  <si>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</si>
  <si>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</si>
  <si>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</si>
  <si>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</si>
  <si>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</si>
  <si>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</si>
  <si>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</si>
  <si>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</si>
  <si>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</si>
  <si>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</si>
  <si>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</si>
  <si>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</si>
  <si>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</si>
  <si>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</si>
  <si>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</si>
  <si>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</si>
  <si>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</si>
  <si>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</si>
  <si>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</si>
  <si>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</si>
  <si>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</si>
  <si>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</si>
  <si>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</si>
  <si>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</si>
  <si>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</si>
  <si>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</si>
  <si>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</si>
  <si>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</si>
  <si>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</si>
  <si>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</si>
  <si>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</si>
  <si>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</si>
  <si>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</si>
  <si>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</si>
  <si>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</si>
  <si>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</si>
  <si>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</si>
  <si>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</si>
  <si>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</si>
  <si>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</si>
  <si>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</si>
  <si>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</si>
  <si>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</si>
  <si>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</si>
  <si>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</si>
  <si>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</si>
  <si>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</si>
  <si>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</si>
  <si>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</si>
  <si>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</si>
  <si>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</si>
  <si>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</si>
  <si>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</si>
  <si>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</si>
  <si>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</si>
  <si>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</si>
  <si>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</si>
  <si>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</si>
  <si>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</si>
  <si>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</si>
  <si>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</si>
  <si>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</si>
  <si>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</si>
  <si>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</si>
  <si>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</si>
  <si>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</si>
  <si>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</si>
  <si>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</si>
  <si>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</si>
  <si>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</si>
  <si>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</si>
  <si>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</si>
  <si>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</si>
  <si>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</si>
  <si>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</si>
  <si>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</si>
  <si>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</si>
  <si>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</si>
  <si>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</si>
  <si>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</si>
  <si>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</si>
  <si>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</si>
  <si>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</si>
  <si>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</si>
  <si>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</si>
  <si>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</si>
  <si>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</si>
  <si>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</si>
  <si>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</si>
  <si>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</si>
  <si>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</si>
  <si>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</si>
  <si>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</si>
  <si>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</si>
  <si>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</si>
  <si>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</si>
  <si>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</si>
  <si>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</si>
  <si>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</si>
  <si>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</si>
  <si>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</si>
  <si>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</si>
  <si>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</si>
  <si>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</si>
  <si>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</si>
  <si>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</si>
  <si>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</si>
  <si>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</si>
  <si>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</si>
  <si>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</si>
  <si>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</si>
  <si>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</si>
  <si>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</si>
  <si>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</si>
  <si>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</si>
  <si>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</si>
  <si>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</si>
  <si>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</si>
  <si>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</si>
  <si>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</si>
  <si>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</si>
  <si>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</si>
  <si>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</si>
  <si>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</si>
  <si>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</si>
  <si>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</si>
  <si>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</si>
  <si>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</si>
  <si>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</si>
  <si>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</si>
  <si>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</si>
  <si>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</si>
  <si>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</si>
  <si>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</si>
  <si>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</si>
  <si>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</si>
  <si>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</si>
  <si>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</si>
  <si>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</si>
  <si>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</si>
  <si>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</si>
  <si>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</si>
  <si>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</si>
  <si>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</si>
  <si>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</si>
  <si>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</si>
  <si>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</si>
  <si>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</si>
  <si>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</si>
  <si>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</si>
  <si>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</si>
  <si>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</si>
  <si>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</si>
  <si>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</si>
  <si>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</si>
  <si>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</si>
  <si>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</si>
  <si>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</si>
  <si>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</si>
  <si>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</si>
  <si>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</si>
  <si>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</si>
  <si>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</si>
  <si>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</si>
  <si>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</si>
  <si>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</si>
  <si>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</si>
  <si>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</si>
  <si>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</si>
  <si>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</si>
  <si>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</si>
  <si>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</si>
  <si>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</si>
  <si>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</si>
  <si>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</si>
  <si>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</si>
  <si>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</si>
  <si>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</si>
  <si>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</si>
  <si>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</si>
  <si>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</si>
  <si>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</si>
  <si>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</si>
  <si>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</si>
  <si>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</si>
  <si>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</si>
  <si>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</si>
  <si>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</si>
  <si>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</si>
  <si>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</si>
  <si>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</si>
  <si>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</si>
  <si>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</si>
  <si>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</si>
  <si>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</si>
  <si>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</si>
  <si>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</si>
  <si>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</si>
  <si>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</si>
  <si>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</si>
  <si>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</si>
  <si>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</si>
  <si>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</si>
  <si>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</si>
  <si>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</si>
  <si>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</si>
  <si>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</si>
  <si>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</si>
  <si>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</si>
  <si>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</si>
  <si>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</si>
  <si>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</si>
  <si>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</si>
  <si>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</si>
  <si>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</si>
  <si>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</si>
  <si>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</si>
  <si>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</si>
  <si>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</si>
  <si>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</si>
  <si>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</si>
  <si>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</si>
  <si>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</si>
  <si>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</si>
  <si>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</si>
  <si>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</si>
  <si>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</si>
  <si>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</si>
  <si>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</si>
  <si>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</si>
  <si>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</si>
  <si>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</si>
  <si>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</si>
  <si>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</si>
  <si>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</si>
  <si>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</si>
  <si>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</si>
  <si>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</si>
  <si>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</si>
  <si>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</si>
  <si>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</si>
  <si>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</si>
  <si>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</si>
  <si>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</si>
  <si>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</si>
  <si>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</si>
  <si>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</si>
  <si>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</si>
  <si>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</si>
  <si>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</si>
  <si>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</si>
  <si>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</si>
  <si>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</si>
  <si>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</si>
  <si>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</si>
  <si>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</si>
  <si>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</si>
  <si>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</si>
  <si>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</si>
  <si>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</si>
  <si>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</si>
  <si>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</si>
  <si>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</si>
  <si>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</si>
  <si>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</si>
  <si>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</si>
  <si>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</si>
  <si>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</si>
  <si>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</si>
  <si>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</si>
  <si>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</si>
  <si>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</si>
  <si>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</si>
  <si>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</si>
  <si>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</si>
  <si>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</si>
  <si>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</si>
  <si>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</si>
  <si>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</si>
  <si>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</si>
  <si>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</si>
  <si>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</si>
  <si>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</si>
  <si>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</si>
  <si>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</si>
  <si>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</si>
  <si>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</si>
  <si>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</si>
  <si>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</si>
  <si>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</si>
  <si>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</si>
  <si>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</si>
  <si>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</si>
  <si>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</si>
  <si>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</si>
  <si>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</si>
  <si>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</si>
  <si>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</si>
  <si>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</si>
  <si>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</si>
  <si>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</si>
  <si>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</si>
  <si>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</si>
  <si>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</si>
  <si>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</si>
  <si>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</si>
  <si>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</si>
  <si>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</si>
  <si>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</si>
  <si>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</si>
  <si>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</si>
  <si>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</si>
  <si>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</si>
  <si>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</si>
  <si>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</si>
  <si>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</si>
  <si>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</si>
  <si>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</si>
  <si>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</si>
  <si>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</si>
  <si>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</si>
  <si>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</si>
  <si>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</si>
  <si>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</si>
  <si>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</si>
  <si>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</si>
  <si>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</si>
  <si>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</si>
  <si>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</si>
  <si>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</si>
  <si>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</si>
  <si>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</si>
  <si>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</si>
  <si>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</si>
  <si>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</si>
  <si>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</si>
  <si>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</si>
  <si>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</si>
  <si>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</si>
  <si>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</si>
  <si>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</si>
  <si>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</si>
  <si>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</si>
  <si>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</si>
  <si>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</si>
  <si>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</si>
  <si>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</si>
  <si>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</si>
  <si>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</si>
  <si>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</si>
  <si>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</si>
  <si>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</si>
  <si>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</si>
  <si>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</si>
  <si>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</si>
  <si>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</si>
  <si>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</si>
  <si>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</si>
  <si>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</si>
  <si>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</si>
  <si>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</si>
  <si>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</si>
  <si>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</si>
  <si>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</si>
  <si>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</si>
  <si>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</si>
  <si>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</si>
  <si>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</si>
  <si>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</si>
  <si>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</si>
  <si>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</si>
  <si>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</si>
  <si>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</si>
  <si>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</si>
  <si>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</si>
  <si>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</si>
  <si>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</si>
  <si>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</si>
  <si>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</si>
  <si>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</si>
  <si>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</si>
  <si>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</si>
  <si>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</si>
  <si>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</si>
  <si>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</si>
  <si>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</si>
  <si>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</si>
  <si>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</si>
  <si>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</si>
  <si>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</si>
  <si>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</si>
  <si>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</si>
  <si>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</si>
  <si>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</si>
  <si>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</si>
  <si>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</si>
  <si>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</si>
  <si>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</si>
  <si>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</si>
  <si>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</si>
  <si>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</si>
  <si>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</si>
  <si>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</si>
  <si>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</si>
  <si>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</si>
  <si>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</si>
  <si>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</si>
  <si>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</si>
  <si>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</si>
  <si>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</si>
  <si>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</si>
  <si>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</si>
  <si>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</si>
  <si>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</si>
  <si>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</si>
  <si>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</si>
  <si>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Travailleurs du secteur privé, Employés rémunérés / travailleurs salariés</t>
  </si>
  <si>
    <t>3è,5è,8è mois</t>
  </si>
  <si>
    <t>périodique</t>
  </si>
  <si>
    <t>3 mois</t>
  </si>
  <si>
    <t>Rapport annuel d'activités de la CNSS,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</si>
</sst>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b/>
      <sz val="9"/>
      <color indexed="81"/>
      <name val="Tahoma"/>
      <charset val="1"/>
    </font>
    <font>
      <sz val="8"/>
      <name val="Calibri"/>
      <family val="2"/>
      <scheme val="minor"/>
    </font>
    <font>
      <sz val="9"/>
      <color indexed="81"/>
      <name val="Tahoma"/>
      <charset val="1"/>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8" borderId="6" xfId="0" applyFont="1" applyFill="1" applyBorder="1" applyAlignment="1">
      <alignment horizontal="center"/>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51"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103414</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40" zoomScaleNormal="140" workbookViewId="0">
      <pane xSplit="2" ySplit="5" topLeftCell="C6" activePane="bottomRight" state="frozen"/>
      <selection pane="topRight" activeCell="C1" sqref="C1"/>
      <selection pane="bottomLeft" activeCell="A6" sqref="A6"/>
      <selection pane="bottomRight" activeCell="J15" sqref="J15"/>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45" t="s">
        <v>514</v>
      </c>
      <c r="F1" s="245"/>
      <c r="G1" s="245"/>
      <c r="H1" s="245"/>
      <c r="I1" s="245"/>
      <c r="J1" s="245"/>
      <c r="K1" s="245"/>
      <c r="L1" s="245"/>
      <c r="M1" s="245"/>
      <c r="N1" s="245"/>
      <c r="O1" s="245"/>
      <c r="P1" s="245"/>
      <c r="Q1" s="245"/>
      <c r="R1" s="245"/>
      <c r="S1" s="245"/>
      <c r="T1" s="245"/>
      <c r="U1" s="245"/>
      <c r="V1" s="245"/>
      <c r="W1" s="66"/>
      <c r="X1" s="66"/>
      <c r="Y1" s="66"/>
      <c r="Z1" s="66"/>
      <c r="AA1" s="66"/>
      <c r="AB1" s="66"/>
      <c r="AC1" s="59"/>
      <c r="AD1" s="59"/>
      <c r="AE1" s="59"/>
      <c r="AF1" s="80"/>
      <c r="AG1" s="59"/>
      <c r="AH1" s="59"/>
      <c r="AI1" s="59"/>
      <c r="AJ1" s="59"/>
    </row>
    <row r="2" spans="1:37" ht="14.4" x14ac:dyDescent="0.3">
      <c r="A2" s="76" t="s">
        <v>212</v>
      </c>
      <c r="B2" s="221">
        <v>2019</v>
      </c>
      <c r="C2" s="74" t="s">
        <v>179</v>
      </c>
      <c r="D2" s="218" t="s">
        <v>526</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46" t="s">
        <v>216</v>
      </c>
      <c r="F4" s="246" t="s">
        <v>217</v>
      </c>
      <c r="G4" s="246" t="s">
        <v>218</v>
      </c>
      <c r="H4" s="246" t="s">
        <v>219</v>
      </c>
      <c r="I4" s="246" t="s">
        <v>220</v>
      </c>
      <c r="J4" s="246" t="s">
        <v>221</v>
      </c>
      <c r="K4" s="246" t="s">
        <v>222</v>
      </c>
      <c r="L4" s="246" t="s">
        <v>223</v>
      </c>
      <c r="M4" s="246" t="s">
        <v>224</v>
      </c>
      <c r="N4" s="246" t="s">
        <v>225</v>
      </c>
      <c r="O4" s="246" t="s">
        <v>226</v>
      </c>
      <c r="P4" s="246" t="s">
        <v>227</v>
      </c>
      <c r="Q4" s="246" t="s">
        <v>228</v>
      </c>
      <c r="R4" s="246" t="s">
        <v>229</v>
      </c>
      <c r="S4" s="246" t="s">
        <v>230</v>
      </c>
      <c r="T4" s="246" t="s">
        <v>231</v>
      </c>
      <c r="U4" s="246" t="s">
        <v>232</v>
      </c>
      <c r="V4" s="141" t="s">
        <v>233</v>
      </c>
      <c r="W4" s="142" t="s">
        <v>234</v>
      </c>
      <c r="X4" s="239" t="s">
        <v>529</v>
      </c>
      <c r="Y4" s="240"/>
      <c r="Z4" s="241"/>
      <c r="AA4" s="242" t="s">
        <v>325</v>
      </c>
      <c r="AB4" s="243"/>
      <c r="AC4" s="244"/>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7"/>
      <c r="F5" s="247"/>
      <c r="G5" s="247"/>
      <c r="H5" s="247"/>
      <c r="I5" s="247"/>
      <c r="J5" s="247"/>
      <c r="K5" s="247"/>
      <c r="L5" s="247"/>
      <c r="M5" s="247"/>
      <c r="N5" s="247"/>
      <c r="O5" s="247"/>
      <c r="P5" s="247"/>
      <c r="Q5" s="247"/>
      <c r="R5" s="247"/>
      <c r="S5" s="247"/>
      <c r="T5" s="247"/>
      <c r="U5" s="247"/>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19">
        <v>676179</v>
      </c>
      <c r="Y6" s="181"/>
      <c r="Z6" s="181"/>
      <c r="AA6" s="219">
        <f>267445+0+0+0</f>
        <v>267445</v>
      </c>
      <c r="AB6" s="181"/>
      <c r="AC6" s="181"/>
      <c r="AD6" s="173" t="s">
        <v>432</v>
      </c>
      <c r="AE6" s="173" t="s">
        <v>432</v>
      </c>
      <c r="AF6" s="173" t="s">
        <v>443</v>
      </c>
      <c r="AG6" s="222">
        <v>328465664067.65997</v>
      </c>
      <c r="AH6" s="184"/>
      <c r="AI6" s="223">
        <v>577826435881.48999</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19">
        <v>676179</v>
      </c>
      <c r="Y7" s="182"/>
      <c r="Z7" s="182"/>
      <c r="AA7" s="220">
        <v>2558</v>
      </c>
      <c r="AB7" s="182"/>
      <c r="AC7" s="182"/>
      <c r="AD7" s="173" t="s">
        <v>432</v>
      </c>
      <c r="AE7" s="173" t="s">
        <v>432</v>
      </c>
      <c r="AF7" s="173" t="s">
        <v>443</v>
      </c>
      <c r="AG7" s="222">
        <v>328465664067.65997</v>
      </c>
      <c r="AH7" s="185"/>
      <c r="AI7" s="223">
        <v>577826435881.48999</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19">
        <v>676179</v>
      </c>
      <c r="Y8" s="181"/>
      <c r="Z8" s="181"/>
      <c r="AA8" s="219">
        <v>64249</v>
      </c>
      <c r="AB8" s="181"/>
      <c r="AC8" s="181"/>
      <c r="AD8" s="173" t="s">
        <v>432</v>
      </c>
      <c r="AE8" s="173" t="s">
        <v>432</v>
      </c>
      <c r="AF8" s="173" t="s">
        <v>443</v>
      </c>
      <c r="AG8" s="222">
        <v>328465664067.65997</v>
      </c>
      <c r="AH8" s="184"/>
      <c r="AI8" s="223">
        <v>577826435881.48999</v>
      </c>
      <c r="AJ8" s="174"/>
    </row>
    <row r="9" spans="1:37" s="95" customForma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c r="W9" s="176"/>
      <c r="X9" s="182"/>
      <c r="Y9" s="182"/>
      <c r="Z9" s="182"/>
      <c r="AA9" s="220">
        <v>1766</v>
      </c>
      <c r="AB9" s="182"/>
      <c r="AC9" s="182"/>
      <c r="AD9" s="176"/>
      <c r="AE9" s="176"/>
      <c r="AF9" s="176"/>
      <c r="AG9" s="224">
        <v>827448369.02999997</v>
      </c>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conditionalFormatting sqref="A6:AJ45">
    <cfRule type="expression" dxfId="204" priority="2">
      <formula>MOD(ROW(),2)=0</formula>
    </cfRule>
    <cfRule type="expression" dxfId="203"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D8" sqref="D8"/>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19" width="12.5546875" style="62" bestFit="1" customWidth="1"/>
    <col min="20"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0.399999999999999" x14ac:dyDescent="0.3">
      <c r="A5" s="96" t="s">
        <v>353</v>
      </c>
      <c r="B5" s="187" t="s">
        <v>555</v>
      </c>
      <c r="C5" s="187" t="s">
        <v>555</v>
      </c>
      <c r="D5" s="189" t="s">
        <v>405</v>
      </c>
      <c r="E5" s="190" t="s">
        <v>559</v>
      </c>
      <c r="F5" s="189" t="s">
        <v>417</v>
      </c>
      <c r="G5" s="188" t="s">
        <v>421</v>
      </c>
      <c r="H5" s="188" t="s">
        <v>396</v>
      </c>
      <c r="I5" s="225">
        <v>676179</v>
      </c>
      <c r="J5" s="204"/>
      <c r="K5" s="204"/>
      <c r="L5" s="226">
        <v>0</v>
      </c>
      <c r="M5" s="206"/>
      <c r="N5" s="206"/>
      <c r="O5" s="191" t="s">
        <v>425</v>
      </c>
      <c r="P5" s="192" t="s">
        <v>430</v>
      </c>
      <c r="Q5" s="191"/>
      <c r="R5" s="191"/>
      <c r="S5" s="191" t="s">
        <v>560</v>
      </c>
      <c r="T5" s="193" t="s">
        <v>554</v>
      </c>
      <c r="U5" s="193"/>
      <c r="V5" s="193"/>
      <c r="W5" s="194"/>
      <c r="X5" s="194"/>
      <c r="Y5" s="193"/>
      <c r="Z5" s="202"/>
      <c r="AA5" s="188"/>
      <c r="AB5" s="97"/>
    </row>
    <row r="6" spans="1:28" s="63" customFormat="1" ht="22.2" customHeight="1" x14ac:dyDescent="0.3">
      <c r="A6" s="96" t="s">
        <v>354</v>
      </c>
      <c r="B6" s="195" t="s">
        <v>556</v>
      </c>
      <c r="C6" s="195" t="s">
        <v>556</v>
      </c>
      <c r="D6" s="197" t="s">
        <v>405</v>
      </c>
      <c r="E6" s="190" t="s">
        <v>559</v>
      </c>
      <c r="F6" s="189" t="s">
        <v>417</v>
      </c>
      <c r="G6" s="188" t="s">
        <v>421</v>
      </c>
      <c r="H6" s="188" t="s">
        <v>396</v>
      </c>
      <c r="I6" s="225">
        <v>676179</v>
      </c>
      <c r="J6" s="207"/>
      <c r="K6" s="207"/>
      <c r="L6" s="227">
        <v>0</v>
      </c>
      <c r="M6" s="208"/>
      <c r="N6" s="208"/>
      <c r="O6" s="191" t="s">
        <v>425</v>
      </c>
      <c r="P6" s="192" t="s">
        <v>430</v>
      </c>
      <c r="Q6" s="192"/>
      <c r="R6" s="192"/>
      <c r="S6" s="192" t="s">
        <v>538</v>
      </c>
      <c r="T6" s="193" t="s">
        <v>554</v>
      </c>
      <c r="U6" s="200"/>
      <c r="V6" s="200"/>
      <c r="W6" s="201"/>
      <c r="X6" s="201"/>
      <c r="Y6" s="200"/>
      <c r="Z6" s="203"/>
      <c r="AA6" s="196"/>
      <c r="AB6" s="97"/>
    </row>
    <row r="7" spans="1:28" s="63" customFormat="1" ht="20.399999999999999" x14ac:dyDescent="0.3">
      <c r="A7" s="96" t="s">
        <v>355</v>
      </c>
      <c r="B7" s="195" t="s">
        <v>557</v>
      </c>
      <c r="C7" s="195" t="s">
        <v>557</v>
      </c>
      <c r="D7" s="197" t="s">
        <v>221</v>
      </c>
      <c r="E7" s="190" t="s">
        <v>559</v>
      </c>
      <c r="F7" s="189" t="s">
        <v>417</v>
      </c>
      <c r="G7" s="188" t="s">
        <v>421</v>
      </c>
      <c r="H7" s="188" t="s">
        <v>396</v>
      </c>
      <c r="I7" s="225">
        <v>676179</v>
      </c>
      <c r="J7" s="207"/>
      <c r="K7" s="207"/>
      <c r="L7" s="227">
        <v>267445</v>
      </c>
      <c r="M7" s="208"/>
      <c r="N7" s="208"/>
      <c r="O7" s="191" t="s">
        <v>425</v>
      </c>
      <c r="P7" s="192" t="s">
        <v>430</v>
      </c>
      <c r="Q7" s="192"/>
      <c r="R7" s="192"/>
      <c r="S7" s="192" t="s">
        <v>561</v>
      </c>
      <c r="T7" s="193" t="s">
        <v>554</v>
      </c>
      <c r="U7" s="200"/>
      <c r="V7" s="200"/>
      <c r="W7" s="201"/>
      <c r="X7" s="201"/>
      <c r="Y7" s="200"/>
      <c r="Z7" s="203"/>
      <c r="AA7" s="196"/>
      <c r="AB7" s="97"/>
    </row>
    <row r="8" spans="1:28" s="63" customFormat="1" ht="27.6" x14ac:dyDescent="0.3">
      <c r="A8" s="96" t="s">
        <v>356</v>
      </c>
      <c r="B8" s="195" t="s">
        <v>558</v>
      </c>
      <c r="C8" s="195" t="s">
        <v>558</v>
      </c>
      <c r="D8" s="197" t="s">
        <v>402</v>
      </c>
      <c r="E8" s="190" t="s">
        <v>559</v>
      </c>
      <c r="F8" s="189" t="s">
        <v>417</v>
      </c>
      <c r="G8" s="188" t="s">
        <v>421</v>
      </c>
      <c r="H8" s="188" t="s">
        <v>396</v>
      </c>
      <c r="I8" s="225">
        <v>676179</v>
      </c>
      <c r="J8" s="207"/>
      <c r="K8" s="207"/>
      <c r="L8" s="227">
        <v>0</v>
      </c>
      <c r="M8" s="208"/>
      <c r="N8" s="208"/>
      <c r="O8" s="191" t="s">
        <v>425</v>
      </c>
      <c r="P8" s="192" t="s">
        <v>430</v>
      </c>
      <c r="Q8" s="192"/>
      <c r="R8" s="192"/>
      <c r="S8" s="192" t="s">
        <v>538</v>
      </c>
      <c r="T8" s="193" t="s">
        <v>562</v>
      </c>
      <c r="U8" s="200"/>
      <c r="V8" s="200"/>
      <c r="W8" s="201"/>
      <c r="X8" s="201"/>
      <c r="Y8" s="200"/>
      <c r="Z8" s="203"/>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9"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zoomScale="85" zoomScaleNormal="85" workbookViewId="0">
      <pane xSplit="2" ySplit="4" topLeftCell="C5" activePane="bottomRight" state="frozen"/>
      <selection pane="topRight" activeCell="C1" sqref="C1"/>
      <selection pane="bottomLeft" activeCell="A5" sqref="A5"/>
      <selection pane="bottomRight" activeCell="D8" sqref="D8"/>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32" t="s">
        <v>542</v>
      </c>
      <c r="C5" s="232" t="s">
        <v>542</v>
      </c>
      <c r="D5" s="189" t="s">
        <v>225</v>
      </c>
      <c r="E5" s="190" t="s">
        <v>547</v>
      </c>
      <c r="F5" s="189" t="s">
        <v>417</v>
      </c>
      <c r="G5" s="188" t="s">
        <v>421</v>
      </c>
      <c r="H5" s="188" t="s">
        <v>396</v>
      </c>
      <c r="I5" s="225">
        <v>676179</v>
      </c>
      <c r="J5" s="204"/>
      <c r="K5" s="204"/>
      <c r="L5" s="226">
        <v>1082</v>
      </c>
      <c r="M5" s="206"/>
      <c r="N5" s="206"/>
      <c r="O5" s="191" t="s">
        <v>425</v>
      </c>
      <c r="P5" s="192" t="s">
        <v>430</v>
      </c>
      <c r="Q5" s="229">
        <v>180000</v>
      </c>
      <c r="R5" s="191"/>
      <c r="S5" s="191"/>
      <c r="T5" s="193" t="s">
        <v>554</v>
      </c>
      <c r="U5" s="193"/>
      <c r="V5" s="193"/>
      <c r="W5" s="231" t="s">
        <v>541</v>
      </c>
      <c r="X5" s="231" t="s">
        <v>541</v>
      </c>
      <c r="Y5" s="193"/>
      <c r="Z5" s="202">
        <v>328465664067.65997</v>
      </c>
      <c r="AA5" s="188"/>
      <c r="AB5" s="97"/>
    </row>
    <row r="6" spans="1:28" s="63" customFormat="1" ht="30.6" x14ac:dyDescent="0.3">
      <c r="A6" s="96" t="s">
        <v>354</v>
      </c>
      <c r="B6" s="233" t="s">
        <v>543</v>
      </c>
      <c r="C6" s="233" t="s">
        <v>543</v>
      </c>
      <c r="D6" s="189" t="s">
        <v>400</v>
      </c>
      <c r="E6" s="190" t="s">
        <v>547</v>
      </c>
      <c r="F6" s="189" t="s">
        <v>419</v>
      </c>
      <c r="G6" s="188" t="s">
        <v>421</v>
      </c>
      <c r="H6" s="188" t="s">
        <v>396</v>
      </c>
      <c r="I6" s="225">
        <v>676179</v>
      </c>
      <c r="J6" s="207"/>
      <c r="K6" s="207"/>
      <c r="L6" s="227">
        <v>1476</v>
      </c>
      <c r="M6" s="208"/>
      <c r="N6" s="208"/>
      <c r="O6" s="191" t="s">
        <v>425</v>
      </c>
      <c r="P6" s="192" t="s">
        <v>430</v>
      </c>
      <c r="Q6" s="229">
        <v>180000</v>
      </c>
      <c r="R6" s="192"/>
      <c r="S6" s="192"/>
      <c r="T6" s="193" t="s">
        <v>554</v>
      </c>
      <c r="U6" s="200"/>
      <c r="V6" s="200"/>
      <c r="W6" s="199"/>
      <c r="X6" s="199"/>
      <c r="Y6" s="200"/>
      <c r="Z6" s="202">
        <v>328465664067.65997</v>
      </c>
      <c r="AA6" s="196"/>
      <c r="AB6" s="97"/>
    </row>
    <row r="7" spans="1:28" s="63" customFormat="1" ht="30.6" x14ac:dyDescent="0.3">
      <c r="A7" s="96" t="s">
        <v>355</v>
      </c>
      <c r="B7" s="234" t="s">
        <v>544</v>
      </c>
      <c r="C7" s="234" t="s">
        <v>544</v>
      </c>
      <c r="D7" s="189" t="s">
        <v>225</v>
      </c>
      <c r="E7" s="190" t="s">
        <v>547</v>
      </c>
      <c r="F7" s="189" t="s">
        <v>417</v>
      </c>
      <c r="G7" s="188" t="s">
        <v>421</v>
      </c>
      <c r="H7" s="188" t="s">
        <v>396</v>
      </c>
      <c r="I7" s="225">
        <v>676179</v>
      </c>
      <c r="J7" s="207"/>
      <c r="K7" s="207"/>
      <c r="L7" s="227"/>
      <c r="M7" s="208"/>
      <c r="N7" s="208"/>
      <c r="O7" s="191" t="s">
        <v>425</v>
      </c>
      <c r="P7" s="192" t="s">
        <v>430</v>
      </c>
      <c r="Q7" s="229">
        <v>180000</v>
      </c>
      <c r="R7" s="192"/>
      <c r="S7" s="192"/>
      <c r="T7" s="193" t="s">
        <v>554</v>
      </c>
      <c r="U7" s="200"/>
      <c r="V7" s="200"/>
      <c r="W7" s="199"/>
      <c r="X7" s="199"/>
      <c r="Y7" s="200"/>
      <c r="Z7" s="202">
        <v>328465664067.65997</v>
      </c>
      <c r="AA7" s="196"/>
      <c r="AB7" s="97"/>
    </row>
    <row r="8" spans="1:28" s="63" customFormat="1" ht="30.6" x14ac:dyDescent="0.3">
      <c r="A8" s="96" t="s">
        <v>356</v>
      </c>
      <c r="B8" s="235" t="s">
        <v>545</v>
      </c>
      <c r="C8" s="235" t="s">
        <v>545</v>
      </c>
      <c r="D8" s="189" t="s">
        <v>405</v>
      </c>
      <c r="E8" s="190" t="s">
        <v>547</v>
      </c>
      <c r="F8" s="189" t="s">
        <v>417</v>
      </c>
      <c r="G8" s="188" t="s">
        <v>421</v>
      </c>
      <c r="H8" s="188" t="s">
        <v>396</v>
      </c>
      <c r="I8" s="225">
        <v>676179</v>
      </c>
      <c r="J8" s="207"/>
      <c r="K8" s="207"/>
      <c r="L8" s="227">
        <v>1766</v>
      </c>
      <c r="M8" s="208"/>
      <c r="N8" s="208"/>
      <c r="O8" s="191" t="s">
        <v>425</v>
      </c>
      <c r="P8" s="192" t="s">
        <v>431</v>
      </c>
      <c r="Q8" s="229">
        <v>180000</v>
      </c>
      <c r="R8" s="192"/>
      <c r="S8" s="192"/>
      <c r="T8" s="193" t="s">
        <v>554</v>
      </c>
      <c r="U8" s="200"/>
      <c r="V8" s="200"/>
      <c r="W8" s="199"/>
      <c r="X8" s="199"/>
      <c r="Y8" s="200"/>
      <c r="Z8" s="202">
        <v>328465664067.65997</v>
      </c>
      <c r="AA8" s="196"/>
      <c r="AB8" s="97"/>
    </row>
    <row r="9" spans="1:28" s="63" customFormat="1" ht="30.6" x14ac:dyDescent="0.3">
      <c r="A9" s="96" t="s">
        <v>357</v>
      </c>
      <c r="B9" s="235" t="s">
        <v>546</v>
      </c>
      <c r="C9" s="235" t="s">
        <v>546</v>
      </c>
      <c r="D9" s="189" t="s">
        <v>405</v>
      </c>
      <c r="E9" s="190" t="s">
        <v>547</v>
      </c>
      <c r="F9" s="189" t="s">
        <v>417</v>
      </c>
      <c r="G9" s="188" t="s">
        <v>421</v>
      </c>
      <c r="H9" s="188" t="s">
        <v>396</v>
      </c>
      <c r="I9" s="225">
        <v>676179</v>
      </c>
      <c r="J9" s="207"/>
      <c r="K9" s="207"/>
      <c r="L9" s="227"/>
      <c r="M9" s="208"/>
      <c r="N9" s="208"/>
      <c r="O9" s="191" t="s">
        <v>425</v>
      </c>
      <c r="P9" s="192" t="s">
        <v>430</v>
      </c>
      <c r="Q9" s="229">
        <v>180000</v>
      </c>
      <c r="R9" s="192"/>
      <c r="S9" s="192"/>
      <c r="T9" s="193" t="s">
        <v>554</v>
      </c>
      <c r="U9" s="200"/>
      <c r="V9" s="200"/>
      <c r="W9" s="199"/>
      <c r="X9" s="199"/>
      <c r="Y9" s="200"/>
      <c r="Z9" s="202">
        <v>328465664067.65997</v>
      </c>
      <c r="AA9" s="196"/>
      <c r="AB9" s="97"/>
    </row>
    <row r="10" spans="1:28" s="63" customFormat="1" ht="30.6" x14ac:dyDescent="0.3">
      <c r="A10" s="96" t="s">
        <v>358</v>
      </c>
      <c r="B10" s="195" t="s">
        <v>548</v>
      </c>
      <c r="C10" s="195" t="s">
        <v>548</v>
      </c>
      <c r="D10" s="189" t="s">
        <v>225</v>
      </c>
      <c r="E10" s="190" t="s">
        <v>547</v>
      </c>
      <c r="F10" s="189" t="s">
        <v>417</v>
      </c>
      <c r="G10" s="188" t="s">
        <v>421</v>
      </c>
      <c r="H10" s="188" t="s">
        <v>396</v>
      </c>
      <c r="I10" s="225">
        <v>676179</v>
      </c>
      <c r="J10" s="207"/>
      <c r="K10" s="207"/>
      <c r="L10" s="209"/>
      <c r="M10" s="208"/>
      <c r="N10" s="208"/>
      <c r="O10" s="192" t="s">
        <v>426</v>
      </c>
      <c r="P10" s="192"/>
      <c r="Q10" s="192"/>
      <c r="R10" s="192"/>
      <c r="S10" s="192"/>
      <c r="T10" s="193" t="s">
        <v>554</v>
      </c>
      <c r="U10" s="200"/>
      <c r="V10" s="200"/>
      <c r="W10" s="201"/>
      <c r="X10" s="201"/>
      <c r="Y10" s="200"/>
      <c r="Z10" s="202">
        <v>328465664067.65997</v>
      </c>
      <c r="AA10" s="196"/>
      <c r="AB10" s="97"/>
    </row>
    <row r="11" spans="1:28" s="63" customFormat="1" ht="30.6" x14ac:dyDescent="0.3">
      <c r="A11" s="96" t="s">
        <v>359</v>
      </c>
      <c r="B11" s="195" t="s">
        <v>549</v>
      </c>
      <c r="C11" s="195" t="s">
        <v>549</v>
      </c>
      <c r="D11" s="189" t="s">
        <v>225</v>
      </c>
      <c r="E11" s="190" t="s">
        <v>547</v>
      </c>
      <c r="F11" s="189" t="s">
        <v>417</v>
      </c>
      <c r="G11" s="188" t="s">
        <v>421</v>
      </c>
      <c r="H11" s="188" t="s">
        <v>396</v>
      </c>
      <c r="I11" s="225">
        <v>676179</v>
      </c>
      <c r="J11" s="207"/>
      <c r="K11" s="207"/>
      <c r="L11" s="208"/>
      <c r="M11" s="208"/>
      <c r="N11" s="208"/>
      <c r="O11" s="192" t="s">
        <v>426</v>
      </c>
      <c r="P11" s="192"/>
      <c r="Q11" s="192"/>
      <c r="R11" s="192"/>
      <c r="S11" s="192"/>
      <c r="T11" s="193" t="s">
        <v>554</v>
      </c>
      <c r="U11" s="200"/>
      <c r="V11" s="200"/>
      <c r="W11" s="201"/>
      <c r="X11" s="201"/>
      <c r="Y11" s="200"/>
      <c r="Z11" s="202">
        <v>328465664067.65997</v>
      </c>
      <c r="AA11" s="196"/>
      <c r="AB11" s="97"/>
    </row>
    <row r="12" spans="1:28" s="63" customFormat="1" ht="30.6" x14ac:dyDescent="0.3">
      <c r="A12" s="96" t="s">
        <v>360</v>
      </c>
      <c r="B12" s="195" t="s">
        <v>550</v>
      </c>
      <c r="C12" s="195" t="s">
        <v>550</v>
      </c>
      <c r="D12" s="189" t="s">
        <v>225</v>
      </c>
      <c r="E12" s="190" t="s">
        <v>547</v>
      </c>
      <c r="F12" s="189" t="s">
        <v>417</v>
      </c>
      <c r="G12" s="188" t="s">
        <v>421</v>
      </c>
      <c r="H12" s="188" t="s">
        <v>396</v>
      </c>
      <c r="I12" s="225">
        <v>676179</v>
      </c>
      <c r="J12" s="207"/>
      <c r="K12" s="207"/>
      <c r="L12" s="208"/>
      <c r="M12" s="208"/>
      <c r="N12" s="208"/>
      <c r="O12" s="192" t="s">
        <v>426</v>
      </c>
      <c r="P12" s="192"/>
      <c r="Q12" s="192"/>
      <c r="R12" s="192"/>
      <c r="S12" s="192"/>
      <c r="T12" s="193" t="s">
        <v>554</v>
      </c>
      <c r="U12" s="200"/>
      <c r="V12" s="200"/>
      <c r="W12" s="201"/>
      <c r="X12" s="201"/>
      <c r="Y12" s="200"/>
      <c r="Z12" s="202">
        <v>328465664067.65997</v>
      </c>
      <c r="AA12" s="196"/>
      <c r="AB12" s="97"/>
    </row>
    <row r="13" spans="1:28" s="63" customFormat="1" ht="41.4" x14ac:dyDescent="0.3">
      <c r="A13" s="96" t="s">
        <v>361</v>
      </c>
      <c r="B13" s="195" t="s">
        <v>551</v>
      </c>
      <c r="C13" s="195" t="s">
        <v>551</v>
      </c>
      <c r="D13" s="189" t="s">
        <v>225</v>
      </c>
      <c r="E13" s="190" t="s">
        <v>547</v>
      </c>
      <c r="F13" s="189" t="s">
        <v>417</v>
      </c>
      <c r="G13" s="188" t="s">
        <v>421</v>
      </c>
      <c r="H13" s="188" t="s">
        <v>396</v>
      </c>
      <c r="I13" s="225">
        <v>676179</v>
      </c>
      <c r="J13" s="207"/>
      <c r="K13" s="207"/>
      <c r="L13" s="208"/>
      <c r="M13" s="208"/>
      <c r="N13" s="208"/>
      <c r="O13" s="192" t="s">
        <v>426</v>
      </c>
      <c r="P13" s="192"/>
      <c r="Q13" s="192"/>
      <c r="R13" s="192"/>
      <c r="S13" s="192"/>
      <c r="T13" s="193" t="s">
        <v>554</v>
      </c>
      <c r="U13" s="200"/>
      <c r="V13" s="200"/>
      <c r="W13" s="201"/>
      <c r="X13" s="201"/>
      <c r="Y13" s="200"/>
      <c r="Z13" s="202">
        <v>328465664067.65997</v>
      </c>
      <c r="AA13" s="196"/>
      <c r="AB13" s="97"/>
    </row>
    <row r="14" spans="1:28" s="63" customFormat="1" ht="30.6" x14ac:dyDescent="0.3">
      <c r="A14" s="96" t="s">
        <v>362</v>
      </c>
      <c r="B14" s="195" t="s">
        <v>552</v>
      </c>
      <c r="C14" s="195" t="s">
        <v>552</v>
      </c>
      <c r="D14" s="189" t="s">
        <v>225</v>
      </c>
      <c r="E14" s="190" t="s">
        <v>547</v>
      </c>
      <c r="F14" s="189" t="s">
        <v>417</v>
      </c>
      <c r="G14" s="188" t="s">
        <v>421</v>
      </c>
      <c r="H14" s="188" t="s">
        <v>396</v>
      </c>
      <c r="I14" s="225">
        <v>676179</v>
      </c>
      <c r="J14" s="207"/>
      <c r="K14" s="207"/>
      <c r="L14" s="208"/>
      <c r="M14" s="208"/>
      <c r="N14" s="208"/>
      <c r="O14" s="192" t="s">
        <v>426</v>
      </c>
      <c r="P14" s="192"/>
      <c r="Q14" s="192"/>
      <c r="R14" s="192"/>
      <c r="S14" s="192"/>
      <c r="T14" s="193" t="s">
        <v>554</v>
      </c>
      <c r="U14" s="200"/>
      <c r="V14" s="200"/>
      <c r="W14" s="201"/>
      <c r="X14" s="201"/>
      <c r="Y14" s="200"/>
      <c r="Z14" s="202">
        <v>328465664067.65997</v>
      </c>
      <c r="AA14" s="196"/>
      <c r="AB14" s="97"/>
    </row>
    <row r="15" spans="1:28" s="63" customFormat="1" ht="30.6" x14ac:dyDescent="0.3">
      <c r="A15" s="96" t="s">
        <v>363</v>
      </c>
      <c r="B15" s="195" t="s">
        <v>553</v>
      </c>
      <c r="C15" s="195" t="s">
        <v>553</v>
      </c>
      <c r="D15" s="189" t="s">
        <v>225</v>
      </c>
      <c r="E15" s="190" t="s">
        <v>547</v>
      </c>
      <c r="F15" s="189" t="s">
        <v>417</v>
      </c>
      <c r="G15" s="188" t="s">
        <v>421</v>
      </c>
      <c r="H15" s="188" t="s">
        <v>396</v>
      </c>
      <c r="I15" s="225">
        <v>676179</v>
      </c>
      <c r="J15" s="207"/>
      <c r="K15" s="207"/>
      <c r="L15" s="208"/>
      <c r="M15" s="208"/>
      <c r="N15" s="208"/>
      <c r="O15" s="192" t="s">
        <v>426</v>
      </c>
      <c r="P15" s="192"/>
      <c r="Q15" s="192"/>
      <c r="R15" s="192"/>
      <c r="S15" s="192"/>
      <c r="T15" s="193" t="s">
        <v>554</v>
      </c>
      <c r="U15" s="200"/>
      <c r="V15" s="200"/>
      <c r="W15" s="201"/>
      <c r="X15" s="201"/>
      <c r="Y15" s="200"/>
      <c r="Z15" s="202">
        <v>328465664067.65997</v>
      </c>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t="s">
        <v>563</v>
      </c>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5" sqref="D5:D1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t="s">
        <v>216</v>
      </c>
      <c r="E5" s="190" t="s">
        <v>411</v>
      </c>
      <c r="F5" s="189" t="s">
        <v>418</v>
      </c>
      <c r="G5" s="188" t="s">
        <v>421</v>
      </c>
      <c r="H5" s="188" t="s">
        <v>396</v>
      </c>
      <c r="I5" s="225">
        <v>676179</v>
      </c>
      <c r="J5" s="204"/>
      <c r="K5" s="204"/>
      <c r="L5" s="226">
        <v>38641</v>
      </c>
      <c r="M5" s="206"/>
      <c r="N5" s="206"/>
      <c r="O5" s="191" t="s">
        <v>425</v>
      </c>
      <c r="P5" s="192" t="s">
        <v>430</v>
      </c>
      <c r="Q5" s="229">
        <v>180000</v>
      </c>
      <c r="R5" s="191"/>
      <c r="S5" s="191"/>
      <c r="T5" s="193" t="s">
        <v>540</v>
      </c>
      <c r="U5" s="231"/>
      <c r="V5" s="231"/>
      <c r="W5" s="231" t="s">
        <v>541</v>
      </c>
      <c r="X5" s="231" t="s">
        <v>541</v>
      </c>
      <c r="Y5" s="193"/>
      <c r="Z5" s="202">
        <v>328465664067.65997</v>
      </c>
      <c r="AA5" s="188"/>
      <c r="AB5" s="97"/>
    </row>
    <row r="6" spans="1:28" s="63" customFormat="1" ht="13.8" x14ac:dyDescent="0.3">
      <c r="A6" s="96" t="s">
        <v>354</v>
      </c>
      <c r="B6" s="195" t="s">
        <v>521</v>
      </c>
      <c r="C6" s="195" t="s">
        <v>521</v>
      </c>
      <c r="D6" s="197" t="s">
        <v>399</v>
      </c>
      <c r="E6" s="190" t="s">
        <v>411</v>
      </c>
      <c r="F6" s="199" t="s">
        <v>417</v>
      </c>
      <c r="G6" s="188" t="s">
        <v>421</v>
      </c>
      <c r="H6" s="188" t="s">
        <v>396</v>
      </c>
      <c r="I6" s="225">
        <v>676179</v>
      </c>
      <c r="J6" s="207"/>
      <c r="K6" s="207"/>
      <c r="L6" s="227">
        <v>883</v>
      </c>
      <c r="M6" s="208"/>
      <c r="N6" s="208"/>
      <c r="O6" s="192" t="s">
        <v>425</v>
      </c>
      <c r="P6" s="192" t="s">
        <v>430</v>
      </c>
      <c r="Q6" s="229">
        <v>180000</v>
      </c>
      <c r="R6" s="192"/>
      <c r="S6" s="192"/>
      <c r="T6" s="193" t="s">
        <v>540</v>
      </c>
      <c r="U6" s="199"/>
      <c r="V6" s="199"/>
      <c r="W6" s="199"/>
      <c r="X6" s="199"/>
      <c r="Y6" s="200"/>
      <c r="Z6" s="202">
        <v>328465664067.65997</v>
      </c>
      <c r="AA6" s="196"/>
      <c r="AB6" s="97"/>
    </row>
    <row r="7" spans="1:28" s="63" customFormat="1" ht="13.8" x14ac:dyDescent="0.3">
      <c r="A7" s="96" t="s">
        <v>355</v>
      </c>
      <c r="B7" s="195" t="s">
        <v>532</v>
      </c>
      <c r="C7" s="195" t="s">
        <v>532</v>
      </c>
      <c r="D7" s="197" t="s">
        <v>400</v>
      </c>
      <c r="E7" s="190" t="s">
        <v>411</v>
      </c>
      <c r="F7" s="199" t="s">
        <v>419</v>
      </c>
      <c r="G7" s="188" t="s">
        <v>421</v>
      </c>
      <c r="H7" s="188" t="s">
        <v>396</v>
      </c>
      <c r="I7" s="225">
        <v>676179</v>
      </c>
      <c r="J7" s="207"/>
      <c r="K7" s="207"/>
      <c r="L7" s="227">
        <v>24725</v>
      </c>
      <c r="M7" s="208"/>
      <c r="N7" s="208"/>
      <c r="O7" s="192" t="s">
        <v>425</v>
      </c>
      <c r="P7" s="192" t="s">
        <v>430</v>
      </c>
      <c r="Q7" s="229">
        <v>180000</v>
      </c>
      <c r="R7" s="192"/>
      <c r="S7" s="192"/>
      <c r="T7" s="193" t="s">
        <v>540</v>
      </c>
      <c r="U7" s="199"/>
      <c r="V7" s="199"/>
      <c r="W7" s="199"/>
      <c r="X7" s="199"/>
      <c r="Y7" s="200"/>
      <c r="Z7" s="202">
        <v>328465664067.65997</v>
      </c>
      <c r="AA7" s="196"/>
      <c r="AB7" s="97"/>
    </row>
    <row r="8" spans="1:28" s="63" customFormat="1" ht="13.8" x14ac:dyDescent="0.3">
      <c r="A8" s="96" t="s">
        <v>356</v>
      </c>
      <c r="B8" s="195" t="s">
        <v>533</v>
      </c>
      <c r="C8" s="195" t="s">
        <v>533</v>
      </c>
      <c r="D8" s="197" t="s">
        <v>216</v>
      </c>
      <c r="E8" s="190" t="s">
        <v>411</v>
      </c>
      <c r="F8" s="199" t="s">
        <v>418</v>
      </c>
      <c r="G8" s="188" t="s">
        <v>421</v>
      </c>
      <c r="H8" s="188" t="s">
        <v>396</v>
      </c>
      <c r="I8" s="225">
        <v>676179</v>
      </c>
      <c r="J8" s="207"/>
      <c r="K8" s="207"/>
      <c r="L8" s="227"/>
      <c r="M8" s="208"/>
      <c r="N8" s="208"/>
      <c r="O8" s="192" t="s">
        <v>425</v>
      </c>
      <c r="P8" s="192"/>
      <c r="Q8" s="192"/>
      <c r="R8" s="192"/>
      <c r="S8" s="192" t="s">
        <v>539</v>
      </c>
      <c r="T8" s="200"/>
      <c r="U8" s="199"/>
      <c r="V8" s="199"/>
      <c r="W8" s="199"/>
      <c r="X8" s="199"/>
      <c r="Y8" s="200"/>
      <c r="Z8" s="202">
        <v>328465664067.65997</v>
      </c>
      <c r="AA8" s="196"/>
      <c r="AB8" s="97"/>
    </row>
    <row r="9" spans="1:28" s="63" customFormat="1" ht="13.8" x14ac:dyDescent="0.3">
      <c r="A9" s="96" t="s">
        <v>357</v>
      </c>
      <c r="B9" s="195" t="s">
        <v>534</v>
      </c>
      <c r="C9" s="195" t="s">
        <v>534</v>
      </c>
      <c r="D9" s="197" t="s">
        <v>400</v>
      </c>
      <c r="E9" s="190" t="s">
        <v>411</v>
      </c>
      <c r="F9" s="199" t="s">
        <v>419</v>
      </c>
      <c r="G9" s="188" t="s">
        <v>421</v>
      </c>
      <c r="H9" s="188" t="s">
        <v>396</v>
      </c>
      <c r="I9" s="225">
        <v>676179</v>
      </c>
      <c r="J9" s="207"/>
      <c r="K9" s="207"/>
      <c r="L9" s="227"/>
      <c r="M9" s="208"/>
      <c r="N9" s="208"/>
      <c r="O9" s="192" t="s">
        <v>425</v>
      </c>
      <c r="P9" s="192"/>
      <c r="Q9" s="192"/>
      <c r="R9" s="192"/>
      <c r="S9" s="192" t="s">
        <v>539</v>
      </c>
      <c r="T9" s="200"/>
      <c r="U9" s="199"/>
      <c r="V9" s="199"/>
      <c r="W9" s="199"/>
      <c r="X9" s="199"/>
      <c r="Y9" s="200"/>
      <c r="Z9" s="202">
        <v>328465664067.65997</v>
      </c>
      <c r="AA9" s="196"/>
      <c r="AB9" s="97"/>
    </row>
    <row r="10" spans="1:28" s="63" customFormat="1" ht="13.8" x14ac:dyDescent="0.3">
      <c r="A10" s="96" t="s">
        <v>358</v>
      </c>
      <c r="B10" s="195" t="s">
        <v>535</v>
      </c>
      <c r="C10" s="195" t="s">
        <v>535</v>
      </c>
      <c r="D10" s="197" t="s">
        <v>216</v>
      </c>
      <c r="E10" s="198" t="s">
        <v>411</v>
      </c>
      <c r="F10" s="199" t="s">
        <v>418</v>
      </c>
      <c r="G10" s="196" t="s">
        <v>421</v>
      </c>
      <c r="H10" s="196" t="s">
        <v>396</v>
      </c>
      <c r="I10" s="225">
        <v>676179</v>
      </c>
      <c r="J10" s="207"/>
      <c r="K10" s="207"/>
      <c r="L10" s="228">
        <v>0</v>
      </c>
      <c r="M10" s="208"/>
      <c r="N10" s="208"/>
      <c r="O10" s="192" t="s">
        <v>425</v>
      </c>
      <c r="P10" s="192" t="s">
        <v>430</v>
      </c>
      <c r="Q10" s="192"/>
      <c r="R10" s="192"/>
      <c r="S10" s="192"/>
      <c r="T10" s="193" t="s">
        <v>540</v>
      </c>
      <c r="U10" s="199"/>
      <c r="V10" s="199"/>
      <c r="W10" s="199"/>
      <c r="X10" s="199"/>
      <c r="Y10" s="200"/>
      <c r="Z10" s="202">
        <v>328465664067.65997</v>
      </c>
      <c r="AA10" s="196"/>
      <c r="AB10" s="97"/>
    </row>
    <row r="11" spans="1:28" s="63" customFormat="1" ht="13.8" x14ac:dyDescent="0.3">
      <c r="A11" s="96" t="s">
        <v>359</v>
      </c>
      <c r="B11" s="195" t="s">
        <v>536</v>
      </c>
      <c r="C11" s="195" t="s">
        <v>536</v>
      </c>
      <c r="D11" s="197" t="s">
        <v>405</v>
      </c>
      <c r="E11" s="198"/>
      <c r="F11" s="199"/>
      <c r="G11" s="196"/>
      <c r="H11" s="196"/>
      <c r="I11" s="207"/>
      <c r="J11" s="207"/>
      <c r="K11" s="207"/>
      <c r="L11" s="208"/>
      <c r="M11" s="208"/>
      <c r="N11" s="208"/>
      <c r="O11" s="192"/>
      <c r="P11" s="192" t="s">
        <v>431</v>
      </c>
      <c r="Q11" s="230">
        <v>190000</v>
      </c>
      <c r="R11" s="192"/>
      <c r="S11" s="192" t="s">
        <v>539</v>
      </c>
      <c r="T11" s="200"/>
      <c r="U11" s="199"/>
      <c r="V11" s="199"/>
      <c r="W11" s="199"/>
      <c r="X11" s="199"/>
      <c r="Y11" s="200"/>
      <c r="Z11" s="202">
        <v>328465664067.65997</v>
      </c>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J18" sqref="J18"/>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2026-06-25T22:30:05Z</dcterms:modified>
</cp:coreProperties>
</file>