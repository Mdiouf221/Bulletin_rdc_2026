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E757BCB4-07E6-AE0B-56E0-F0EEF7A6E26C}"/>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ESS/ESS_CNSS/"/>
    </mc:Choice>
  </mc:AlternateContent>
  <xr:revisionPtr revIDLastSave="3" documentId="13_ncr:1_{54B01A82-D610-45D9-A4C7-847B7A91D909}" xr6:coauthVersionLast="47" xr6:coauthVersionMax="47" xr10:uidLastSave="{A58BDDB6-1560-4FF8-9246-5A297542DB44}"/>
  <bookViews>
    <workbookView xWindow="28680" yWindow="-7905" windowWidth="29040" windowHeight="15720" activeTab="5"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Standard View" guid="{05B837B4-FDDA-47B8-9D6D-B0632FFD6D77}" maximized="1" xWindow="-1688" yWindow="-8" windowWidth="1696" windowHeight="1066" activeSheetId="9"/>
    <customWorkbookView name="Full View" guid="{43331C61-E5DE-4680-8381-52BB1541163B}"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6" i="9" l="1"/>
  <c r="D1" i="272"/>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I6" authorId="0" shapeId="0" xr:uid="{5C7AE1E8-4E31-4C7A-AC59-626D311EDE24}">
      <text>
        <r>
          <rPr>
            <b/>
            <sz val="9"/>
            <color indexed="81"/>
            <rFont val="Tahoma"/>
            <charset val="1"/>
          </rPr>
          <t xml:space="preserve">Hp: les prestations de cette branche sont  : 
</t>
        </r>
        <r>
          <rPr>
            <sz val="9"/>
            <color indexed="81"/>
            <rFont val="Tahoma"/>
            <family val="2"/>
          </rPr>
          <t>Allocations prénatales ; 
Allocations de maternité ;
Indemnités journalières de congé de maternité.</t>
        </r>
      </text>
    </comment>
    <comment ref="J6" authorId="0" shapeId="0" xr:uid="{F56FE747-D8AC-4FAD-B401-04DC248E0B08}">
      <text>
        <r>
          <rPr>
            <b/>
            <sz val="9"/>
            <color indexed="81"/>
            <rFont val="Tahoma"/>
            <family val="2"/>
          </rPr>
          <t>Hp:</t>
        </r>
        <r>
          <rPr>
            <sz val="9"/>
            <color indexed="81"/>
            <rFont val="Tahoma"/>
            <family val="2"/>
          </rPr>
          <t xml:space="preserve">
Allocations familiales</t>
        </r>
      </text>
    </comment>
    <comment ref="AA6" authorId="0" shapeId="0" xr:uid="{AEAB981A-D413-4EAA-B081-D6BF4B3905E8}">
      <text>
        <r>
          <rPr>
            <b/>
            <sz val="9"/>
            <color indexed="81"/>
            <rFont val="Tahoma"/>
            <family val="2"/>
          </rPr>
          <t>Hp:</t>
        </r>
        <r>
          <rPr>
            <sz val="9"/>
            <color indexed="81"/>
            <rFont val="Tahoma"/>
            <family val="2"/>
          </rPr>
          <t xml:space="preserve">
267.445 enfants bénéficiaires des allocations familiales, pas de statistiques pour les femmes bénéficiaires des indemnités journalières de congé de maternité, les femmes bénéficiaires des allocations de maternité et les femmes bénéficiaires des allocations prénatales</t>
        </r>
      </text>
    </comment>
    <comment ref="N7" authorId="0" shapeId="0" xr:uid="{D34867C7-FC27-4E5F-9947-675EA7B63BAF}">
      <text>
        <r>
          <rPr>
            <b/>
            <sz val="9"/>
            <color indexed="81"/>
            <rFont val="Tahoma"/>
            <family val="2"/>
          </rPr>
          <t>Hp:</t>
        </r>
        <r>
          <rPr>
            <sz val="9"/>
            <color indexed="81"/>
            <rFont val="Tahoma"/>
            <family val="2"/>
          </rPr>
          <t xml:space="preserve">
les prestations en cas d'accidents du travail, des maladies professionnelles et des maladies d'origine professionnelle. Ces prestations sont en nature (assistance médical, fourniture des produits pharmaceutiques, réadaptation fonctionnelle et reclassement de la victime, etc.) et en espèce (indemnité journalière, la rente ou l'allocation d'incapacité, l'allocation des frais funéraires, les rentes des survivants, les frais de réadaptation fonctionnelle ou de reclassement de la victime).</t>
        </r>
      </text>
    </comment>
    <comment ref="AA7" authorId="0" shapeId="0" xr:uid="{8E96AA5D-C209-4504-B69C-017A5B3F8FD5}">
      <text>
        <r>
          <rPr>
            <b/>
            <sz val="9"/>
            <color indexed="81"/>
            <rFont val="Tahoma"/>
            <family val="2"/>
          </rPr>
          <t>Hp:</t>
        </r>
        <r>
          <rPr>
            <sz val="9"/>
            <color indexed="81"/>
            <rFont val="Tahoma"/>
            <family val="2"/>
          </rPr>
          <t xml:space="preserve">
1.020 rentiers d'incapacité et 1.608 rentiers des survivants.</t>
        </r>
      </text>
    </comment>
    <comment ref="E8" authorId="0" shapeId="0" xr:uid="{66A23568-7A94-4C88-B567-D6E05C022663}">
      <text>
        <r>
          <rPr>
            <b/>
            <sz val="9"/>
            <color indexed="81"/>
            <rFont val="Tahoma"/>
            <family val="2"/>
          </rPr>
          <t>Hp:</t>
        </r>
        <r>
          <rPr>
            <sz val="9"/>
            <color indexed="81"/>
            <rFont val="Tahoma"/>
            <family val="2"/>
          </rPr>
          <t xml:space="preserve">
Les prestations de vieillesse sont : la pension de retraite et l'allocation unique de vieillesse.</t>
        </r>
      </text>
    </comment>
    <comment ref="F8" authorId="0" shapeId="0" xr:uid="{1944C363-73DA-4B4A-A89C-67A7F9787A99}">
      <text>
        <r>
          <rPr>
            <b/>
            <sz val="9"/>
            <color indexed="81"/>
            <rFont val="Tahoma"/>
            <family val="2"/>
          </rPr>
          <t>Hp:</t>
        </r>
        <r>
          <rPr>
            <sz val="9"/>
            <color indexed="81"/>
            <rFont val="Tahoma"/>
            <family val="2"/>
          </rPr>
          <t xml:space="preserve">
la pension d'invalidité.</t>
        </r>
      </text>
    </comment>
    <comment ref="G8" authorId="0" shapeId="0" xr:uid="{CDB0FCAA-F90D-4103-B904-CB82877AA02C}">
      <text>
        <r>
          <rPr>
            <b/>
            <sz val="9"/>
            <color indexed="81"/>
            <rFont val="Tahoma"/>
            <family val="2"/>
          </rPr>
          <t>Hp:</t>
        </r>
        <r>
          <rPr>
            <sz val="9"/>
            <color indexed="81"/>
            <rFont val="Tahoma"/>
            <family val="2"/>
          </rPr>
          <t xml:space="preserve">
la pension des survivants et l'allocation unique des survivants.</t>
        </r>
      </text>
    </comment>
    <comment ref="AA8" authorId="0" shapeId="0" xr:uid="{20AE3130-A8C7-432D-A7A5-D3E9C814714A}">
      <text>
        <r>
          <rPr>
            <b/>
            <sz val="9"/>
            <color indexed="81"/>
            <rFont val="Tahoma"/>
            <family val="2"/>
          </rPr>
          <t>Hp:</t>
        </r>
        <r>
          <rPr>
            <sz val="9"/>
            <color indexed="81"/>
            <rFont val="Tahoma"/>
            <family val="2"/>
          </rPr>
          <t xml:space="preserve">
39.465 retraités, 568 invalides, 25.720 survivants et 78 bénéficiaires de retraite anticipée.</t>
        </r>
      </text>
    </comment>
    <comment ref="U9" authorId="0" shapeId="0" xr:uid="{66FFCCC2-8C38-4C58-A475-4C1788A28F4F}">
      <text>
        <r>
          <rPr>
            <b/>
            <sz val="9"/>
            <color indexed="81"/>
            <rFont val="Tahoma"/>
            <family val="2"/>
          </rPr>
          <t>Hp:</t>
        </r>
        <r>
          <rPr>
            <sz val="9"/>
            <color indexed="81"/>
            <rFont val="Tahoma"/>
            <family val="2"/>
          </rPr>
          <t xml:space="preserve">
l'action sanitaire et sociale vient compléter les prestations des branches des pensions, des risques professionnels et des prestations aux familles. Il s'agit d'un paiement d'un montant forfait équivalent à 100 USD à la famille du retraité décédé.</t>
        </r>
      </text>
    </comment>
    <comment ref="AA9" authorId="0" shapeId="0" xr:uid="{88869565-1B69-49EF-AC92-49E0B38B911C}">
      <text>
        <r>
          <rPr>
            <b/>
            <sz val="9"/>
            <color indexed="81"/>
            <rFont val="Tahoma"/>
            <family val="2"/>
          </rPr>
          <t>Hp:</t>
        </r>
        <r>
          <rPr>
            <sz val="9"/>
            <color indexed="81"/>
            <rFont val="Tahoma"/>
            <family val="2"/>
          </rPr>
          <t xml:space="preserve">
Bénéficiaires de frais funéraires en 2022</t>
        </r>
      </text>
    </comment>
    <comment ref="AG9" authorId="0" shapeId="0" xr:uid="{EFC6F068-9790-4869-ACD6-9F0F435046EE}">
      <text>
        <r>
          <rPr>
            <sz val="9"/>
            <color indexed="81"/>
            <rFont val="Tahoma"/>
            <family val="2"/>
          </rPr>
          <t>le montant des frais funéraires payés en 2021. Ce montant est inclus dans les dépenses globales.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W5" authorId="0" shapeId="0" xr:uid="{895B2DD8-EF0B-4CBA-B469-9C65D2B17EB1}">
      <text>
        <r>
          <rPr>
            <b/>
            <sz val="9"/>
            <color indexed="81"/>
            <rFont val="Tahoma"/>
            <charset val="1"/>
          </rPr>
          <t>Hp:</t>
        </r>
        <r>
          <rPr>
            <sz val="9"/>
            <color indexed="81"/>
            <rFont val="Tahoma"/>
            <charset val="1"/>
          </rPr>
          <t xml:space="preserve">
l'âge d'ouverture à la retraite est à 60 ans pour les hommes et les femmes, tandis que le départ définitif à la retraite est à 65 ans.</t>
        </r>
      </text>
    </comment>
    <comment ref="Z5" authorId="0" shapeId="0" xr:uid="{375E461B-64B9-4388-9D42-A7E6965CD151}">
      <text>
        <r>
          <rPr>
            <b/>
            <sz val="9"/>
            <color indexed="81"/>
            <rFont val="Tahoma"/>
            <family val="2"/>
          </rPr>
          <t>Hp:</t>
        </r>
        <r>
          <rPr>
            <sz val="9"/>
            <color indexed="81"/>
            <rFont val="Tahoma"/>
            <family val="2"/>
          </rPr>
          <t xml:space="preserve">
Total des dépenses engagées, y compris les frais administratifs).</t>
        </r>
      </text>
    </comment>
    <comment ref="F6" authorId="0" shapeId="0" xr:uid="{DBB2010B-062A-4DC6-9928-AB5CAB36DBDE}">
      <text>
        <r>
          <rPr>
            <b/>
            <sz val="9"/>
            <color indexed="81"/>
            <rFont val="Tahoma"/>
            <family val="2"/>
          </rPr>
          <t>Hp:</t>
        </r>
        <r>
          <rPr>
            <sz val="9"/>
            <color indexed="81"/>
            <rFont val="Tahoma"/>
            <family val="2"/>
          </rPr>
          <t xml:space="preserve">
Veuves/veufs et orphelins.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E5" authorId="0" shapeId="0" xr:uid="{F6A1B1C2-333A-477C-8E61-EE642585980D}">
      <text>
        <r>
          <rPr>
            <b/>
            <sz val="9"/>
            <color indexed="81"/>
            <rFont val="Tahoma"/>
            <family val="2"/>
          </rPr>
          <t>Hp:</t>
        </r>
        <r>
          <rPr>
            <sz val="9"/>
            <color indexed="81"/>
            <rFont val="Tahoma"/>
            <family val="2"/>
          </rPr>
          <t xml:space="preserve">
Travailleurs soumis aux dispositions du Code du travail, les indépendants et les assurés volontaires.</t>
        </r>
      </text>
    </comment>
    <comment ref="I5" authorId="0" shapeId="0" xr:uid="{4698D89F-2FEB-411B-8635-1E47CE41E9BC}">
      <text>
        <r>
          <rPr>
            <b/>
            <sz val="9"/>
            <color indexed="81"/>
            <rFont val="Tahoma"/>
            <family val="2"/>
          </rPr>
          <t>Hp:</t>
        </r>
        <r>
          <rPr>
            <sz val="9"/>
            <color indexed="81"/>
            <rFont val="Tahoma"/>
            <family val="2"/>
          </rPr>
          <t xml:space="preserve">
Effectif des travailleurs cotisants au régime général de la sécurité sociale.</t>
        </r>
      </text>
    </comment>
    <comment ref="W5" authorId="0" shapeId="0" xr:uid="{BE878771-1421-40D2-AA00-353D5C0843FC}">
      <text>
        <r>
          <rPr>
            <b/>
            <sz val="9"/>
            <color indexed="81"/>
            <rFont val="Tahoma"/>
            <family val="2"/>
          </rPr>
          <t>Hp:</t>
        </r>
        <r>
          <rPr>
            <sz val="9"/>
            <color indexed="81"/>
            <rFont val="Tahoma"/>
            <family val="2"/>
          </rPr>
          <t xml:space="preserve">
60 ans est l'âge d'ouverture à la retraite et 65 ans est l'âge définitif de départ à la retraite.</t>
        </r>
      </text>
    </comment>
    <comment ref="Z5" authorId="0" shapeId="0" xr:uid="{8361C554-9AF6-4ECC-8D99-8F9BAD8101B1}">
      <text>
        <r>
          <rPr>
            <b/>
            <sz val="9"/>
            <color indexed="81"/>
            <rFont val="Tahoma"/>
            <charset val="1"/>
          </rPr>
          <t>Hp:</t>
        </r>
        <r>
          <rPr>
            <sz val="9"/>
            <color indexed="81"/>
            <rFont val="Tahoma"/>
            <charset val="1"/>
          </rPr>
          <t xml:space="preserve">
dépenses totales engagées.</t>
        </r>
      </text>
    </comment>
    <comment ref="F7" authorId="0" shapeId="0" xr:uid="{A9E3F89F-972D-48A5-BADD-BD8EA0DFC1CB}">
      <text>
        <r>
          <rPr>
            <b/>
            <sz val="9"/>
            <color indexed="81"/>
            <rFont val="Tahoma"/>
            <family val="2"/>
          </rPr>
          <t>Hp:</t>
        </r>
        <r>
          <rPr>
            <sz val="9"/>
            <color indexed="81"/>
            <rFont val="Tahoma"/>
            <family val="2"/>
          </rPr>
          <t xml:space="preserve">
Veuves/veufs et orphélins selon le Code de la famille, ascendants entretenus par le retraité dans le cas où il n'avait pas des descendants.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<sst xmlns="http://schemas.openxmlformats.org/spreadsheetml/2006/main" count="3299" uniqueCount="564">
  <si>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</si>
  <si>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</si>
  <si>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</si>
  <si>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</si>
  <si>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</si>
  <si>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</si>
  <si>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</si>
  <si>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</si>
  <si>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</si>
  <si>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</si>
  <si>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</si>
  <si>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</si>
  <si>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</si>
  <si>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</si>
  <si>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</si>
  <si>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</si>
  <si>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</si>
  <si>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</si>
  <si>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</si>
  <si>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</si>
  <si>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</si>
  <si>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</si>
  <si>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</si>
  <si>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</si>
  <si>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</si>
  <si>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</si>
  <si>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</si>
  <si>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</si>
  <si>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</si>
  <si>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</si>
  <si>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</si>
  <si>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</si>
  <si>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</si>
  <si>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</si>
  <si>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</si>
  <si>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</si>
  <si>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</si>
  <si>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</si>
  <si>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</si>
  <si>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</si>
  <si>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</si>
  <si>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</si>
  <si>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</si>
  <si>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</si>
  <si>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</si>
  <si>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</si>
  <si>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</si>
  <si>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</si>
  <si>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</si>
  <si>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</si>
  <si>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</si>
  <si>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</si>
  <si>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</si>
  <si>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</si>
  <si>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</si>
  <si>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</si>
  <si>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</si>
  <si>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</si>
  <si>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</si>
  <si>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</si>
  <si>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</si>
  <si>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</si>
  <si>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</si>
  <si>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</si>
  <si>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</si>
  <si>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</si>
  <si>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</si>
  <si>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</si>
  <si>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</si>
  <si>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</si>
  <si>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</si>
  <si>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</si>
  <si>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</si>
  <si>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</si>
  <si>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</si>
  <si>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</si>
  <si>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</si>
  <si>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</si>
  <si>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</si>
  <si>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</si>
  <si>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</si>
  <si>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</si>
  <si>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</si>
  <si>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</si>
  <si>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</si>
  <si>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</si>
  <si>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</si>
  <si>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</si>
  <si>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</si>
  <si>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</si>
  <si>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</si>
  <si>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</si>
  <si>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</si>
  <si>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</si>
  <si>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</si>
  <si>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</si>
  <si>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</si>
  <si>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</si>
  <si>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</si>
  <si>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</si>
  <si>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</si>
  <si>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</si>
  <si>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</si>
  <si>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</si>
  <si>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</si>
  <si>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</si>
  <si>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</si>
  <si>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</si>
  <si>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</si>
  <si>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</si>
  <si>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</si>
  <si>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</si>
  <si>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</si>
  <si>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</si>
  <si>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</si>
  <si>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</si>
  <si>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</si>
  <si>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</si>
  <si>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</si>
  <si>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</si>
  <si>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</si>
  <si>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</si>
  <si>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</si>
  <si>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</si>
  <si>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</si>
  <si>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</si>
  <si>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</si>
  <si>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</si>
  <si>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</si>
  <si>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</si>
  <si>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</si>
  <si>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</si>
  <si>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</si>
  <si>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</si>
  <si>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</si>
  <si>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</si>
  <si>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</si>
  <si>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</si>
  <si>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</si>
  <si>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</si>
  <si>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</si>
  <si>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</si>
  <si>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</si>
  <si>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</si>
  <si>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</si>
  <si>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</si>
  <si>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</si>
  <si>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</si>
  <si>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</si>
  <si>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</si>
  <si>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</si>
  <si>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</si>
  <si>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</si>
  <si>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</si>
  <si>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</si>
  <si>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</si>
  <si>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</si>
  <si>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</si>
  <si>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</si>
  <si>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</si>
  <si>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</si>
  <si>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</si>
  <si>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</si>
  <si>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</si>
  <si>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</si>
  <si>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</si>
  <si>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</si>
  <si>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</si>
  <si>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</si>
  <si>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</si>
  <si>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</si>
  <si>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</si>
  <si>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</si>
  <si>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</si>
  <si>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</si>
  <si>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</si>
  <si>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</si>
  <si>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</si>
  <si>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</si>
  <si>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</si>
  <si>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</si>
  <si>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</si>
  <si>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</si>
  <si>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</si>
  <si>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</si>
  <si>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</si>
  <si>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</si>
  <si>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</si>
  <si>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</si>
  <si>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</si>
  <si>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</si>
  <si>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</si>
  <si>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</si>
  <si>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</si>
  <si>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</si>
  <si>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</si>
  <si>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</si>
  <si>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</si>
  <si>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</si>
  <si>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</si>
  <si>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</si>
  <si>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</si>
  <si>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</si>
  <si>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</si>
  <si>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</si>
  <si>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</si>
  <si>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</si>
  <si>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</si>
  <si>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</si>
  <si>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</si>
  <si>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</si>
  <si>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</si>
  <si>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</si>
  <si>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</si>
  <si>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</si>
  <si>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</si>
  <si>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</si>
  <si>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</si>
  <si>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</si>
  <si>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</si>
  <si>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</si>
  <si>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</si>
  <si>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</si>
  <si>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</si>
  <si>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</si>
  <si>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</si>
  <si>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</si>
  <si>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</si>
  <si>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</si>
  <si>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</si>
  <si>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</si>
  <si>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</si>
  <si>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</si>
  <si>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</si>
  <si>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</si>
  <si>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</si>
  <si>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</si>
  <si>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</si>
  <si>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</si>
  <si>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</si>
  <si>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</si>
  <si>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</si>
  <si>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</si>
  <si>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</si>
  <si>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</si>
  <si>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</si>
  <si>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</si>
  <si>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</si>
  <si>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</si>
  <si>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</si>
  <si>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</si>
  <si>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</si>
  <si>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</si>
  <si>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</si>
  <si>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</si>
  <si>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</si>
  <si>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</si>
  <si>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</si>
  <si>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</si>
  <si>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</si>
  <si>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</si>
  <si>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</si>
  <si>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</si>
  <si>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</si>
  <si>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</si>
  <si>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</si>
  <si>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</si>
  <si>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</si>
  <si>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</si>
  <si>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</si>
  <si>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</si>
  <si>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</si>
  <si>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</si>
  <si>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</si>
  <si>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</si>
  <si>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</si>
  <si>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</si>
  <si>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</si>
  <si>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</si>
  <si>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</si>
  <si>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</si>
  <si>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</si>
  <si>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</si>
  <si>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</si>
  <si>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</si>
  <si>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</si>
  <si>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</si>
  <si>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5</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</si>
  <si>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</si>
  <si>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</si>
  <si>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</si>
  <si>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</si>
  <si>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</si>
  <si>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</si>
  <si>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</si>
  <si>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</si>
  <si>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</si>
  <si>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</si>
  <si>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</si>
  <si>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</si>
  <si>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</si>
  <si>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</si>
  <si>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</si>
  <si>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</si>
  <si>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</si>
  <si>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</si>
  <si>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</si>
  <si>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</si>
  <si>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</si>
  <si>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</si>
  <si>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</si>
  <si>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</si>
  <si>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</si>
  <si>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</si>
  <si>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</si>
  <si>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</si>
  <si>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</si>
  <si>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</si>
  <si>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</si>
  <si>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</si>
  <si>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</si>
  <si>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</si>
  <si>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</si>
  <si>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</si>
  <si>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</si>
  <si>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</si>
  <si>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</si>
  <si>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</si>
  <si>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</si>
  <si>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</si>
  <si>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</si>
  <si>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</si>
  <si>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</si>
  <si>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</si>
  <si>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</si>
  <si>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</si>
  <si>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</si>
  <si>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</si>
  <si>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</si>
  <si>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</si>
  <si>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</si>
  <si>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</si>
  <si>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</si>
  <si>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</si>
  <si>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</si>
  <si>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</si>
  <si>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</si>
  <si>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</si>
  <si>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</si>
  <si>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</si>
  <si>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</si>
  <si>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</si>
  <si>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</si>
  <si>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</si>
  <si>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</si>
  <si>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</si>
  <si>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</si>
  <si>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</si>
  <si>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</si>
  <si>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</si>
  <si>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</si>
  <si>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</si>
  <si>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</si>
  <si>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</si>
  <si>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</si>
  <si>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</si>
  <si>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</si>
  <si>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</si>
  <si>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</si>
  <si>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</si>
  <si>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</si>
  <si>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</si>
  <si>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</si>
  <si>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</si>
  <si>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</si>
  <si>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</si>
  <si>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</si>
  <si>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</si>
  <si>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</si>
  <si>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</si>
  <si>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</si>
  <si>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</si>
  <si>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</si>
  <si>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</si>
  <si>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</si>
  <si>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</si>
  <si>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</si>
  <si>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</si>
  <si>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</si>
  <si>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</si>
  <si>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</si>
  <si>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</si>
  <si>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</si>
  <si>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</si>
  <si>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</si>
  <si>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</si>
  <si>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</si>
  <si>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</si>
  <si>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</si>
  <si>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</si>
  <si>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</si>
  <si>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</si>
  <si>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</si>
  <si>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</si>
  <si>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</si>
  <si>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</si>
  <si>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</si>
  <si>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</si>
  <si>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</si>
  <si>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</si>
  <si>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</si>
  <si>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</si>
  <si>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</si>
  <si>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</si>
  <si>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</si>
  <si>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</si>
  <si>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</si>
  <si>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</si>
  <si>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</si>
  <si>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</si>
  <si>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</si>
  <si>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</si>
  <si>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</si>
  <si>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</si>
  <si>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</si>
  <si>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</si>
  <si>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</si>
  <si>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</si>
  <si>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</si>
  <si>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</si>
  <si>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</si>
  <si>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</si>
  <si>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</si>
  <si>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</si>
  <si>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</si>
  <si>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</si>
  <si>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</si>
  <si>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</si>
  <si>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</si>
  <si>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</si>
  <si>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</si>
  <si>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</si>
  <si>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</si>
  <si>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</si>
  <si>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</si>
  <si>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</si>
  <si>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</si>
  <si>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</si>
  <si>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</si>
  <si>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</si>
  <si>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</si>
  <si>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</si>
  <si>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</si>
  <si>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</si>
  <si>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</si>
  <si>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</si>
  <si>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</si>
  <si>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</si>
  <si>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</si>
  <si>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</si>
  <si>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</si>
  <si>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</si>
  <si>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</si>
  <si>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</si>
  <si>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</si>
  <si>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</si>
  <si>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</si>
  <si>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</si>
  <si>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</si>
  <si>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</si>
  <si>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</si>
  <si>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</si>
  <si>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</si>
  <si>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</si>
  <si>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</si>
  <si>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</si>
  <si>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</si>
  <si>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</si>
  <si>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</si>
  <si>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</si>
  <si>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</si>
  <si>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</si>
  <si>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</si>
  <si>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</si>
  <si>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</si>
  <si>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</si>
  <si>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</si>
  <si>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</si>
  <si>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</si>
  <si>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</si>
  <si>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</si>
  <si>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</si>
  <si>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</si>
  <si>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</si>
  <si>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</si>
  <si>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</si>
  <si>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</si>
  <si>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</si>
  <si>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</si>
  <si>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</si>
  <si>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</si>
  <si>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</si>
  <si>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</si>
  <si>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</si>
  <si>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</si>
  <si>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</si>
  <si>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</si>
  <si>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</si>
  <si>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</si>
  <si>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</si>
  <si>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</si>
  <si>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</si>
  <si>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</si>
  <si>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</si>
  <si>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</si>
  <si>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</si>
  <si>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</si>
  <si>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</si>
  <si>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</si>
  <si>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</si>
  <si>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Branche des Risques Professionnelles</t>
  </si>
  <si>
    <t>Pension d'invalidité</t>
  </si>
  <si>
    <t>Branche des Risques Professionnels</t>
  </si>
  <si>
    <t>Branche des Prestations aux familles</t>
  </si>
  <si>
    <t>Branche des Pensions</t>
  </si>
  <si>
    <t>CNSS</t>
  </si>
  <si>
    <t>deocnss@gmail.com</t>
  </si>
  <si>
    <t>Direction des Etudes et Organisation</t>
  </si>
  <si>
    <t>Action sanitaire et sociale</t>
  </si>
  <si>
    <r>
      <rPr>
        <b/>
        <sz val="10"/>
        <rFont val="Arial Narrow"/>
        <family val="2"/>
      </rPr>
      <t xml:space="preserve">Nombre de personnes ayant contribué </t>
    </r>
    <r>
      <rPr>
        <sz val="10"/>
        <rFont val="Arial Narrow"/>
        <family val="2"/>
      </rPr>
      <t>au régime durant de la période de référence (le cas échéant)</t>
    </r>
  </si>
  <si>
    <t>Congo DRC (Monnaie locale : CDF)</t>
  </si>
  <si>
    <t>Pension de retraite</t>
  </si>
  <si>
    <t>Pension des survivants</t>
  </si>
  <si>
    <t>Allocations de vieillesse</t>
  </si>
  <si>
    <t xml:space="preserve">Allocations des survivants </t>
  </si>
  <si>
    <t xml:space="preserve">Pension de retraite anticipée </t>
  </si>
  <si>
    <t xml:space="preserve">frais funéraires </t>
  </si>
  <si>
    <t>CDF</t>
  </si>
  <si>
    <t>paiement unique</t>
  </si>
  <si>
    <t>Paiement unique</t>
  </si>
  <si>
    <t>180 mois</t>
  </si>
  <si>
    <t>60,65</t>
  </si>
  <si>
    <t>Rente ou allocation d'incapacité</t>
  </si>
  <si>
    <t xml:space="preserve">rentes de survivants </t>
  </si>
  <si>
    <t xml:space="preserve">indemnité journalière </t>
  </si>
  <si>
    <t xml:space="preserve">allocation des frais funéraires </t>
  </si>
  <si>
    <t>frais de réadaptation fonctionnelle  ou de reclassement de la victime</t>
  </si>
  <si>
    <t>Travailleurs du secteur public, Travailleurs du secteur privé, Employés rémunérés / travailleurs salariés</t>
  </si>
  <si>
    <t>assistance médicale, chirurgicale et soins dentaires</t>
  </si>
  <si>
    <t>fourniture des produits pharmaceutiques</t>
  </si>
  <si>
    <t>transport de la victime</t>
  </si>
  <si>
    <t>fourniture, entretien et renouvellement des appareils prophèse et d'orthopédie</t>
  </si>
  <si>
    <t>lunettes, soins infirmiers et visites à domicile</t>
  </si>
  <si>
    <t>réadaptation fonctionnelle ou reclassement de la victime.</t>
  </si>
  <si>
    <t>12 mois</t>
  </si>
  <si>
    <t>allocations prénatales</t>
  </si>
  <si>
    <t>allocation de maternité</t>
  </si>
  <si>
    <t>allocations familiales</t>
  </si>
  <si>
    <t>indemnité journalière de maternité</t>
  </si>
  <si>
    <t>Travailleurs du secteur privé, Employés rémunérés / travailleurs salariés</t>
  </si>
  <si>
    <t>3è,5è,8è mois</t>
  </si>
  <si>
    <t>périodique</t>
  </si>
  <si>
    <t>3 mois</t>
  </si>
  <si>
    <t>Rapport annuel d'activités de la CNSS, 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</si>
</sst>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61"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b/>
      <sz val="9"/>
      <color indexed="81"/>
      <name val="Tahoma"/>
      <charset val="1"/>
    </font>
    <font>
      <sz val="8"/>
      <name val="Calibri"/>
      <family val="2"/>
      <scheme val="minor"/>
    </font>
    <font>
      <sz val="9"/>
      <color indexed="81"/>
      <name val="Tahoma"/>
      <charset val="1"/>
    </font>
  </fonts>
  <fills count="20">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theme="0" tint="-0.14999847407452621"/>
        <bgColor theme="0" tint="-0.14999847407452621"/>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62">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1" fillId="2" borderId="1" xfId="0" applyFont="1" applyFill="1" applyBorder="1" applyAlignment="1">
      <alignment vertical="center"/>
    </xf>
    <xf numFmtId="0" fontId="40" fillId="0" borderId="0" xfId="0" applyFont="1" applyAlignment="1">
      <alignment horizontal="left" vertical="top" wrapText="1"/>
    </xf>
    <xf numFmtId="0" fontId="36" fillId="0" borderId="0" xfId="0" applyFont="1" applyAlignment="1">
      <alignment horizontal="left" vertical="top" wrapText="1"/>
    </xf>
    <xf numFmtId="0" fontId="37"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5"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3" fillId="3" borderId="0" xfId="2" applyFont="1" applyFill="1" applyBorder="1" applyAlignment="1" applyProtection="1">
      <alignment horizontal="left" vertical="top" wrapText="1"/>
      <protection locked="0"/>
    </xf>
    <xf numFmtId="0" fontId="44"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6" fillId="15" borderId="0" xfId="0" applyFont="1" applyFill="1" applyAlignment="1">
      <alignment horizontal="left" vertical="top" wrapText="1"/>
    </xf>
    <xf numFmtId="0" fontId="36" fillId="18" borderId="0" xfId="0" applyFont="1" applyFill="1" applyAlignment="1">
      <alignment horizontal="left" vertical="top" wrapText="1"/>
    </xf>
    <xf numFmtId="0" fontId="39" fillId="15" borderId="11" xfId="0" applyFont="1" applyFill="1" applyBorder="1" applyAlignment="1">
      <alignment horizontal="left" vertical="top" wrapText="1"/>
    </xf>
    <xf numFmtId="0" fontId="39"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0" fillId="0" borderId="0" xfId="0" applyFont="1"/>
    <xf numFmtId="0" fontId="26" fillId="0" borderId="0" xfId="0" applyFont="1"/>
    <xf numFmtId="0" fontId="21" fillId="0" borderId="0" xfId="0" applyFont="1" applyAlignment="1">
      <alignment horizontal="right" vertical="top"/>
    </xf>
    <xf numFmtId="0" fontId="49" fillId="3" borderId="0" xfId="0" applyFont="1" applyFill="1" applyAlignment="1">
      <alignment vertical="top"/>
    </xf>
    <xf numFmtId="0" fontId="41" fillId="0" borderId="0" xfId="0" applyFont="1" applyAlignment="1">
      <alignment vertical="top"/>
    </xf>
    <xf numFmtId="0" fontId="41" fillId="2" borderId="6" xfId="0" applyFont="1" applyFill="1" applyBorder="1" applyAlignment="1">
      <alignment vertical="top"/>
    </xf>
    <xf numFmtId="0" fontId="52" fillId="3" borderId="0" xfId="0" applyFont="1" applyFill="1" applyAlignment="1">
      <alignment vertical="top"/>
    </xf>
    <xf numFmtId="0" fontId="49" fillId="6" borderId="1" xfId="0" applyFont="1" applyFill="1" applyBorder="1" applyAlignment="1">
      <alignment vertical="top"/>
    </xf>
    <xf numFmtId="0" fontId="52" fillId="3" borderId="0" xfId="0" applyFont="1" applyFill="1" applyAlignment="1">
      <alignment horizontal="right" vertical="top"/>
    </xf>
    <xf numFmtId="0" fontId="49" fillId="0" borderId="0" xfId="0" applyFont="1" applyAlignment="1">
      <alignment vertical="top"/>
    </xf>
    <xf numFmtId="0" fontId="53" fillId="0" borderId="0" xfId="0" applyFont="1" applyAlignment="1">
      <alignment horizontal="right" vertical="top"/>
    </xf>
    <xf numFmtId="0" fontId="54" fillId="0" borderId="0" xfId="0" applyFont="1" applyAlignment="1">
      <alignment horizontal="left" vertical="top"/>
    </xf>
    <xf numFmtId="0" fontId="53" fillId="0" borderId="0" xfId="0" applyFont="1" applyAlignment="1">
      <alignment horizontal="left" vertical="top"/>
    </xf>
    <xf numFmtId="0" fontId="55" fillId="0" borderId="0" xfId="0" applyFont="1" applyAlignment="1">
      <alignment horizontal="left" vertical="top" wrapText="1"/>
    </xf>
    <xf numFmtId="0" fontId="55" fillId="0" borderId="0" xfId="0" applyFont="1" applyAlignment="1">
      <alignment horizontal="left" vertical="top"/>
    </xf>
    <xf numFmtId="0" fontId="47" fillId="2" borderId="16" xfId="2" applyFont="1" applyFill="1" applyBorder="1" applyAlignment="1" applyProtection="1">
      <alignment horizontal="left" vertical="center" wrapText="1"/>
      <protection locked="0"/>
    </xf>
    <xf numFmtId="0" fontId="55" fillId="0" borderId="0" xfId="0" applyFont="1" applyAlignment="1">
      <alignment horizontal="right" vertical="top" wrapText="1"/>
    </xf>
    <xf numFmtId="0" fontId="47"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2"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8"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7"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6" fillId="0" borderId="6" xfId="0" applyFont="1" applyBorder="1" applyAlignment="1" applyProtection="1">
      <alignment horizontal="left" vertical="top"/>
      <protection locked="0"/>
    </xf>
    <xf numFmtId="0" fontId="46"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3" fontId="30" fillId="17"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0" fontId="29" fillId="6" borderId="6" xfId="0" applyFont="1" applyFill="1" applyBorder="1" applyAlignment="1" applyProtection="1">
      <alignment horizontal="left" vertical="top"/>
      <protection locked="0"/>
    </xf>
    <xf numFmtId="164" fontId="21" fillId="17" borderId="4" xfId="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right" vertical="top" wrapText="1"/>
      <protection locked="0"/>
    </xf>
    <xf numFmtId="164" fontId="21" fillId="2" borderId="4" xfId="1" applyFont="1" applyFill="1" applyBorder="1" applyAlignment="1" applyProtection="1">
      <alignment horizontal="right" vertical="top" wrapText="1"/>
      <protection locked="0"/>
    </xf>
    <xf numFmtId="3" fontId="21" fillId="5" borderId="12" xfId="1" applyNumberFormat="1" applyFont="1" applyFill="1" applyBorder="1" applyAlignment="1" applyProtection="1">
      <alignment horizontal="right" vertical="top" wrapText="1"/>
      <protection locked="0"/>
    </xf>
    <xf numFmtId="3" fontId="21" fillId="5" borderId="13" xfId="0" applyNumberFormat="1" applyFont="1" applyFill="1" applyBorder="1" applyAlignment="1" applyProtection="1">
      <alignment horizontal="right" vertical="top" wrapText="1"/>
      <protection locked="0"/>
    </xf>
    <xf numFmtId="3" fontId="21" fillId="5" borderId="3" xfId="0" applyNumberFormat="1" applyFont="1" applyFill="1" applyBorder="1" applyAlignment="1" applyProtection="1">
      <alignment horizontal="right" vertical="top" wrapText="1"/>
      <protection locked="0"/>
    </xf>
    <xf numFmtId="3" fontId="21" fillId="5" borderId="6" xfId="0" applyNumberFormat="1" applyFont="1" applyFill="1" applyBorder="1" applyAlignment="1" applyProtection="1">
      <alignment horizontal="right" vertical="top" wrapText="1"/>
      <protection locked="0"/>
    </xf>
    <xf numFmtId="164" fontId="21" fillId="7" borderId="12" xfId="1" applyFont="1" applyFill="1" applyBorder="1" applyAlignment="1" applyProtection="1">
      <alignment horizontal="left" vertical="top" wrapText="1"/>
      <protection locked="0"/>
    </xf>
    <xf numFmtId="164" fontId="21" fillId="7" borderId="3" xfId="1" applyFont="1" applyFill="1" applyBorder="1" applyAlignment="1" applyProtection="1">
      <alignment horizontal="left" vertical="top" wrapText="1"/>
      <protection locked="0"/>
    </xf>
    <xf numFmtId="49" fontId="21" fillId="3" borderId="12" xfId="0" applyNumberFormat="1" applyFont="1" applyFill="1" applyBorder="1" applyAlignment="1" applyProtection="1">
      <alignment horizontal="left" vertical="top" wrapText="1"/>
      <protection locked="0"/>
    </xf>
    <xf numFmtId="49" fontId="21" fillId="0" borderId="6" xfId="0" applyNumberFormat="1" applyFont="1" applyBorder="1" applyAlignment="1">
      <alignment horizontal="left" vertical="top"/>
    </xf>
    <xf numFmtId="49" fontId="21" fillId="19" borderId="6" xfId="0" applyNumberFormat="1" applyFont="1" applyFill="1" applyBorder="1" applyAlignment="1">
      <alignment horizontal="left" vertical="top"/>
    </xf>
    <xf numFmtId="49" fontId="21" fillId="0" borderId="6" xfId="1" applyNumberFormat="1" applyFont="1" applyBorder="1" applyAlignment="1">
      <alignment horizontal="left" vertical="top"/>
    </xf>
    <xf numFmtId="49" fontId="21" fillId="0" borderId="6" xfId="0" applyNumberFormat="1" applyFont="1" applyBorder="1" applyAlignment="1" applyProtection="1">
      <alignment horizontal="left" vertical="top" wrapText="1"/>
      <protection locked="0"/>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51" fillId="3" borderId="0" xfId="2" applyFont="1" applyFill="1" applyBorder="1" applyAlignment="1" applyProtection="1">
      <alignment horizontal="left" vertical="top"/>
      <protection locked="0"/>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09">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72775"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103414</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mailto:socprodata@ilo.org" TargetMode="External"/><Relationship Id="rId7" Type="http://schemas.openxmlformats.org/officeDocument/2006/relationships/vmlDrawing" Target="../drawings/vmlDrawing1.v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mailto:deocnss@gmail.com"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zoomScaleNormal="100" workbookViewId="0">
      <selection activeCell="B20" sqref="B2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198</v>
      </c>
      <c r="C10" s="52"/>
    </row>
    <row r="11" spans="1:3" s="53" customFormat="1" ht="14.4" x14ac:dyDescent="0.3">
      <c r="A11" s="52"/>
      <c r="B11" s="116"/>
      <c r="C11" s="52"/>
    </row>
    <row r="12" spans="1:3" s="53" customFormat="1" ht="34.200000000000003" x14ac:dyDescent="0.3">
      <c r="A12" s="52"/>
      <c r="B12" s="116" t="s">
        <v>199</v>
      </c>
      <c r="C12" s="52"/>
    </row>
    <row r="13" spans="1:3" s="53" customFormat="1" ht="14.4" x14ac:dyDescent="0.3">
      <c r="A13" s="52"/>
      <c r="B13" s="116"/>
      <c r="C13" s="52"/>
    </row>
    <row r="14" spans="1:3" s="53" customFormat="1" ht="45.6" x14ac:dyDescent="0.3">
      <c r="A14" s="52"/>
      <c r="B14" s="116" t="s">
        <v>200</v>
      </c>
      <c r="C14" s="52"/>
    </row>
    <row r="15" spans="1:3" s="53" customFormat="1" ht="14.4" x14ac:dyDescent="0.3">
      <c r="A15" s="52"/>
      <c r="B15" s="116"/>
      <c r="C15" s="52"/>
    </row>
    <row r="16" spans="1:3" s="53" customFormat="1" ht="14.4" x14ac:dyDescent="0.3">
      <c r="A16" s="52"/>
      <c r="B16" s="116" t="s">
        <v>210</v>
      </c>
      <c r="C16" s="52"/>
    </row>
    <row r="17" spans="1:3" s="53" customFormat="1" ht="14.4" x14ac:dyDescent="0.3">
      <c r="A17" s="52"/>
      <c r="B17" s="52"/>
      <c r="C17" s="52"/>
    </row>
    <row r="18" spans="1:3" s="53" customFormat="1" ht="19.8" x14ac:dyDescent="0.3">
      <c r="A18" s="52"/>
      <c r="B18" s="117" t="s">
        <v>201</v>
      </c>
      <c r="C18" s="52"/>
    </row>
    <row r="19" spans="1:3" s="53" customFormat="1" ht="14.4" x14ac:dyDescent="0.3">
      <c r="A19" s="52"/>
      <c r="B19" s="52"/>
      <c r="C19" s="52"/>
    </row>
    <row r="20" spans="1:3" s="53" customFormat="1" ht="98.25" customHeight="1" x14ac:dyDescent="0.3">
      <c r="A20" s="52"/>
      <c r="B20" s="118" t="s">
        <v>202</v>
      </c>
      <c r="C20" s="52"/>
    </row>
    <row r="21" spans="1:3" s="53" customFormat="1" ht="25.2" x14ac:dyDescent="0.3">
      <c r="A21" s="52"/>
      <c r="B21" s="119" t="s">
        <v>203</v>
      </c>
      <c r="C21" s="52"/>
    </row>
    <row r="22" spans="1:3" s="53" customFormat="1" ht="47.25" customHeight="1" x14ac:dyDescent="0.3">
      <c r="A22" s="52"/>
      <c r="B22" s="118" t="s">
        <v>204</v>
      </c>
      <c r="C22" s="52"/>
    </row>
    <row r="23" spans="1:3" s="53" customFormat="1" ht="63" x14ac:dyDescent="0.3">
      <c r="A23" s="52"/>
      <c r="B23" s="119" t="s">
        <v>205</v>
      </c>
      <c r="C23" s="52"/>
    </row>
    <row r="24" spans="1:3" s="53" customFormat="1" ht="63" customHeight="1" x14ac:dyDescent="0.3">
      <c r="A24" s="52"/>
      <c r="B24" s="118" t="s">
        <v>206</v>
      </c>
      <c r="C24" s="52"/>
    </row>
    <row r="25" spans="1:3" s="53" customFormat="1" ht="37.799999999999997" x14ac:dyDescent="0.3">
      <c r="A25" s="52"/>
      <c r="B25" s="119" t="s">
        <v>207</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208</v>
      </c>
    </row>
    <row r="63" spans="1:3" ht="14.4" hidden="1" x14ac:dyDescent="0.3">
      <c r="B63" s="51" t="s">
        <v>209</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zoomScale="140" zoomScaleNormal="140" workbookViewId="0">
      <pane xSplit="2" ySplit="5" topLeftCell="C6" activePane="bottomRight" state="frozen"/>
      <selection pane="topRight" activeCell="C1" sqref="C1"/>
      <selection pane="bottomLeft" activeCell="A6" sqref="A6"/>
      <selection pane="bottomRight" activeCell="J15" sqref="J15"/>
    </sheetView>
  </sheetViews>
  <sheetFormatPr defaultColWidth="0" defaultRowHeight="13.8" zeroHeight="1" x14ac:dyDescent="0.3"/>
  <cols>
    <col min="1" max="1" width="9.33203125" style="58" customWidth="1"/>
    <col min="2" max="2" width="30" style="56" customWidth="1"/>
    <col min="3" max="3" width="29.6640625" style="56" customWidth="1"/>
    <col min="4"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3"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x14ac:dyDescent="0.3">
      <c r="A1" s="76" t="s">
        <v>211</v>
      </c>
      <c r="B1" s="151" t="s">
        <v>530</v>
      </c>
      <c r="C1" s="74" t="s">
        <v>178</v>
      </c>
      <c r="D1" s="152" t="s">
        <v>527</v>
      </c>
      <c r="E1" s="241" t="s">
        <v>514</v>
      </c>
      <c r="F1" s="241"/>
      <c r="G1" s="241"/>
      <c r="H1" s="241"/>
      <c r="I1" s="241"/>
      <c r="J1" s="241"/>
      <c r="K1" s="241"/>
      <c r="L1" s="241"/>
      <c r="M1" s="241"/>
      <c r="N1" s="241"/>
      <c r="O1" s="241"/>
      <c r="P1" s="241"/>
      <c r="Q1" s="241"/>
      <c r="R1" s="241"/>
      <c r="S1" s="241"/>
      <c r="T1" s="241"/>
      <c r="U1" s="241"/>
      <c r="V1" s="241"/>
      <c r="W1" s="66"/>
      <c r="X1" s="66"/>
      <c r="Y1" s="66"/>
      <c r="Z1" s="66"/>
      <c r="AA1" s="66"/>
      <c r="AB1" s="66"/>
      <c r="AC1" s="59"/>
      <c r="AD1" s="59"/>
      <c r="AE1" s="59"/>
      <c r="AF1" s="80"/>
      <c r="AG1" s="59"/>
      <c r="AH1" s="59"/>
      <c r="AI1" s="59"/>
      <c r="AJ1" s="59"/>
    </row>
    <row r="2" spans="1:37" ht="14.4" x14ac:dyDescent="0.3">
      <c r="A2" s="76" t="s">
        <v>212</v>
      </c>
      <c r="B2" s="221">
        <v>2019</v>
      </c>
      <c r="C2" s="74" t="s">
        <v>179</v>
      </c>
      <c r="D2" s="218" t="s">
        <v>526</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177</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105.6" customHeight="1" x14ac:dyDescent="0.3">
      <c r="A4" s="139" t="s">
        <v>245</v>
      </c>
      <c r="B4" s="140" t="s">
        <v>213</v>
      </c>
      <c r="C4" s="140" t="s">
        <v>214</v>
      </c>
      <c r="D4" s="140" t="s">
        <v>215</v>
      </c>
      <c r="E4" s="239" t="s">
        <v>216</v>
      </c>
      <c r="F4" s="239" t="s">
        <v>217</v>
      </c>
      <c r="G4" s="239" t="s">
        <v>218</v>
      </c>
      <c r="H4" s="239" t="s">
        <v>219</v>
      </c>
      <c r="I4" s="239" t="s">
        <v>220</v>
      </c>
      <c r="J4" s="239" t="s">
        <v>221</v>
      </c>
      <c r="K4" s="239" t="s">
        <v>222</v>
      </c>
      <c r="L4" s="239" t="s">
        <v>223</v>
      </c>
      <c r="M4" s="239" t="s">
        <v>224</v>
      </c>
      <c r="N4" s="239" t="s">
        <v>225</v>
      </c>
      <c r="O4" s="239" t="s">
        <v>226</v>
      </c>
      <c r="P4" s="239" t="s">
        <v>227</v>
      </c>
      <c r="Q4" s="239" t="s">
        <v>228</v>
      </c>
      <c r="R4" s="239" t="s">
        <v>229</v>
      </c>
      <c r="S4" s="239" t="s">
        <v>230</v>
      </c>
      <c r="T4" s="239" t="s">
        <v>231</v>
      </c>
      <c r="U4" s="239" t="s">
        <v>232</v>
      </c>
      <c r="V4" s="141" t="s">
        <v>233</v>
      </c>
      <c r="W4" s="142" t="s">
        <v>234</v>
      </c>
      <c r="X4" s="242" t="s">
        <v>529</v>
      </c>
      <c r="Y4" s="243"/>
      <c r="Z4" s="244"/>
      <c r="AA4" s="236" t="s">
        <v>325</v>
      </c>
      <c r="AB4" s="237"/>
      <c r="AC4" s="238"/>
      <c r="AD4" s="142" t="s">
        <v>235</v>
      </c>
      <c r="AE4" s="142" t="s">
        <v>236</v>
      </c>
      <c r="AF4" s="142" t="s">
        <v>237</v>
      </c>
      <c r="AG4" s="141" t="s">
        <v>238</v>
      </c>
      <c r="AH4" s="141" t="s">
        <v>239</v>
      </c>
      <c r="AI4" s="141" t="s">
        <v>240</v>
      </c>
      <c r="AJ4" s="140" t="s">
        <v>241</v>
      </c>
    </row>
    <row r="5" spans="1:37" ht="20.399999999999999" customHeight="1" x14ac:dyDescent="0.3">
      <c r="A5" s="143"/>
      <c r="B5" s="144"/>
      <c r="C5" s="145"/>
      <c r="D5" s="146"/>
      <c r="E5" s="240"/>
      <c r="F5" s="240"/>
      <c r="G5" s="240"/>
      <c r="H5" s="240"/>
      <c r="I5" s="240"/>
      <c r="J5" s="240"/>
      <c r="K5" s="240"/>
      <c r="L5" s="240"/>
      <c r="M5" s="240"/>
      <c r="N5" s="240"/>
      <c r="O5" s="240"/>
      <c r="P5" s="240"/>
      <c r="Q5" s="240"/>
      <c r="R5" s="240"/>
      <c r="S5" s="240"/>
      <c r="T5" s="240"/>
      <c r="U5" s="240"/>
      <c r="V5" s="147" t="s">
        <v>242</v>
      </c>
      <c r="W5" s="147" t="s">
        <v>242</v>
      </c>
      <c r="X5" s="148" t="s">
        <v>6</v>
      </c>
      <c r="Y5" s="148" t="s">
        <v>243</v>
      </c>
      <c r="Z5" s="140" t="s">
        <v>244</v>
      </c>
      <c r="AA5" s="148" t="s">
        <v>6</v>
      </c>
      <c r="AB5" s="148" t="s">
        <v>243</v>
      </c>
      <c r="AC5" s="140" t="s">
        <v>244</v>
      </c>
      <c r="AD5" s="147" t="s">
        <v>242</v>
      </c>
      <c r="AE5" s="147" t="s">
        <v>242</v>
      </c>
      <c r="AF5" s="147" t="s">
        <v>242</v>
      </c>
      <c r="AG5" s="149" t="s">
        <v>441</v>
      </c>
      <c r="AH5" s="149" t="s">
        <v>441</v>
      </c>
      <c r="AI5" s="149" t="s">
        <v>441</v>
      </c>
      <c r="AJ5" s="150"/>
      <c r="AK5" s="61"/>
    </row>
    <row r="6" spans="1:37" s="94" customFormat="1" x14ac:dyDescent="0.3">
      <c r="A6" s="170" t="s">
        <v>246</v>
      </c>
      <c r="B6" s="172" t="s">
        <v>523</v>
      </c>
      <c r="C6" s="172" t="s">
        <v>523</v>
      </c>
      <c r="D6" s="173" t="s">
        <v>525</v>
      </c>
      <c r="E6" s="173"/>
      <c r="F6" s="173"/>
      <c r="G6" s="173"/>
      <c r="H6" s="173"/>
      <c r="I6" s="173" t="s">
        <v>10</v>
      </c>
      <c r="J6" s="173" t="s">
        <v>10</v>
      </c>
      <c r="K6" s="173"/>
      <c r="L6" s="173"/>
      <c r="M6" s="173"/>
      <c r="N6" s="173"/>
      <c r="O6" s="173"/>
      <c r="P6" s="173"/>
      <c r="Q6" s="173"/>
      <c r="R6" s="173"/>
      <c r="S6" s="173"/>
      <c r="T6" s="173"/>
      <c r="U6" s="173"/>
      <c r="V6" s="173" t="s">
        <v>396</v>
      </c>
      <c r="W6" s="173" t="s">
        <v>422</v>
      </c>
      <c r="X6" s="219">
        <v>676179</v>
      </c>
      <c r="Y6" s="181"/>
      <c r="Z6" s="181"/>
      <c r="AA6" s="219">
        <f>267445+0+0+0</f>
        <v>267445</v>
      </c>
      <c r="AB6" s="181"/>
      <c r="AC6" s="181"/>
      <c r="AD6" s="173" t="s">
        <v>432</v>
      </c>
      <c r="AE6" s="173" t="s">
        <v>432</v>
      </c>
      <c r="AF6" s="173" t="s">
        <v>443</v>
      </c>
      <c r="AG6" s="222">
        <v>328465664067.65997</v>
      </c>
      <c r="AH6" s="184"/>
      <c r="AI6" s="223">
        <v>577826435881.48999</v>
      </c>
      <c r="AJ6" s="174"/>
      <c r="AK6" s="81"/>
    </row>
    <row r="7" spans="1:37" s="95" customFormat="1" ht="13.8" customHeight="1" x14ac:dyDescent="0.3">
      <c r="A7" s="171" t="s">
        <v>247</v>
      </c>
      <c r="B7" s="175" t="s">
        <v>520</v>
      </c>
      <c r="C7" s="175" t="s">
        <v>522</v>
      </c>
      <c r="D7" s="176" t="s">
        <v>525</v>
      </c>
      <c r="E7" s="176"/>
      <c r="F7" s="176"/>
      <c r="G7" s="176"/>
      <c r="H7" s="176"/>
      <c r="I7" s="176"/>
      <c r="J7" s="176"/>
      <c r="K7" s="176"/>
      <c r="L7" s="176"/>
      <c r="M7" s="176"/>
      <c r="N7" s="176" t="s">
        <v>10</v>
      </c>
      <c r="O7" s="176"/>
      <c r="P7" s="176"/>
      <c r="Q7" s="176"/>
      <c r="R7" s="176"/>
      <c r="S7" s="176"/>
      <c r="T7" s="176"/>
      <c r="U7" s="176"/>
      <c r="V7" s="173" t="s">
        <v>396</v>
      </c>
      <c r="W7" s="173" t="s">
        <v>422</v>
      </c>
      <c r="X7" s="219">
        <v>676179</v>
      </c>
      <c r="Y7" s="182"/>
      <c r="Z7" s="182"/>
      <c r="AA7" s="220">
        <v>2558</v>
      </c>
      <c r="AB7" s="182"/>
      <c r="AC7" s="182"/>
      <c r="AD7" s="173" t="s">
        <v>432</v>
      </c>
      <c r="AE7" s="173" t="s">
        <v>432</v>
      </c>
      <c r="AF7" s="173" t="s">
        <v>443</v>
      </c>
      <c r="AG7" s="222">
        <v>328465664067.65997</v>
      </c>
      <c r="AH7" s="185"/>
      <c r="AI7" s="223">
        <v>577826435881.48999</v>
      </c>
      <c r="AJ7" s="177"/>
      <c r="AK7" s="81"/>
    </row>
    <row r="8" spans="1:37" s="81" customFormat="1" x14ac:dyDescent="0.3">
      <c r="A8" s="170" t="s">
        <v>248</v>
      </c>
      <c r="B8" s="172" t="s">
        <v>524</v>
      </c>
      <c r="C8" s="172" t="s">
        <v>524</v>
      </c>
      <c r="D8" s="173" t="s">
        <v>525</v>
      </c>
      <c r="E8" s="173" t="s">
        <v>10</v>
      </c>
      <c r="F8" s="173" t="s">
        <v>10</v>
      </c>
      <c r="G8" s="173" t="s">
        <v>10</v>
      </c>
      <c r="H8" s="173"/>
      <c r="I8" s="173"/>
      <c r="J8" s="173"/>
      <c r="K8" s="173"/>
      <c r="L8" s="173"/>
      <c r="M8" s="173"/>
      <c r="N8" s="173"/>
      <c r="O8" s="173"/>
      <c r="P8" s="173"/>
      <c r="Q8" s="173"/>
      <c r="R8" s="173"/>
      <c r="S8" s="173"/>
      <c r="T8" s="173"/>
      <c r="U8" s="173"/>
      <c r="V8" s="173" t="s">
        <v>396</v>
      </c>
      <c r="W8" s="173" t="s">
        <v>422</v>
      </c>
      <c r="X8" s="219">
        <v>676179</v>
      </c>
      <c r="Y8" s="181"/>
      <c r="Z8" s="181"/>
      <c r="AA8" s="219">
        <v>64249</v>
      </c>
      <c r="AB8" s="181"/>
      <c r="AC8" s="181"/>
      <c r="AD8" s="173" t="s">
        <v>432</v>
      </c>
      <c r="AE8" s="173" t="s">
        <v>432</v>
      </c>
      <c r="AF8" s="173" t="s">
        <v>443</v>
      </c>
      <c r="AG8" s="222">
        <v>328465664067.65997</v>
      </c>
      <c r="AH8" s="184"/>
      <c r="AI8" s="223">
        <v>577826435881.48999</v>
      </c>
      <c r="AJ8" s="174"/>
    </row>
    <row r="9" spans="1:37" s="95" customFormat="1" x14ac:dyDescent="0.3">
      <c r="A9" s="171" t="s">
        <v>249</v>
      </c>
      <c r="B9" s="175" t="s">
        <v>528</v>
      </c>
      <c r="C9" s="175"/>
      <c r="D9" s="176" t="s">
        <v>525</v>
      </c>
      <c r="E9" s="176"/>
      <c r="F9" s="176"/>
      <c r="G9" s="176"/>
      <c r="H9" s="176"/>
      <c r="I9" s="176"/>
      <c r="J9" s="176"/>
      <c r="K9" s="176"/>
      <c r="L9" s="176"/>
      <c r="M9" s="176"/>
      <c r="N9" s="176"/>
      <c r="O9" s="176"/>
      <c r="P9" s="176"/>
      <c r="Q9" s="176"/>
      <c r="R9" s="176"/>
      <c r="S9" s="176"/>
      <c r="T9" s="176"/>
      <c r="U9" s="176" t="s">
        <v>10</v>
      </c>
      <c r="V9" s="176"/>
      <c r="W9" s="176"/>
      <c r="X9" s="182"/>
      <c r="Y9" s="182"/>
      <c r="Z9" s="182"/>
      <c r="AA9" s="220">
        <v>1766</v>
      </c>
      <c r="AB9" s="182"/>
      <c r="AC9" s="182"/>
      <c r="AD9" s="176"/>
      <c r="AE9" s="176"/>
      <c r="AF9" s="176"/>
      <c r="AG9" s="224">
        <v>827448369.02999997</v>
      </c>
      <c r="AH9" s="185"/>
      <c r="AI9" s="185"/>
      <c r="AJ9" s="177"/>
      <c r="AK9" s="81"/>
    </row>
    <row r="10" spans="1:37" s="81" customFormat="1" x14ac:dyDescent="0.3">
      <c r="A10" s="170" t="s">
        <v>250</v>
      </c>
      <c r="B10" s="172" t="s">
        <v>287</v>
      </c>
      <c r="C10" s="172"/>
      <c r="D10" s="173"/>
      <c r="E10" s="173"/>
      <c r="F10" s="173"/>
      <c r="G10" s="173"/>
      <c r="H10" s="173"/>
      <c r="I10" s="173"/>
      <c r="J10" s="173"/>
      <c r="K10" s="173"/>
      <c r="L10" s="173"/>
      <c r="M10" s="173"/>
      <c r="N10" s="173"/>
      <c r="O10" s="173"/>
      <c r="P10" s="173"/>
      <c r="Q10" s="173"/>
      <c r="R10" s="173"/>
      <c r="S10" s="173"/>
      <c r="T10" s="173"/>
      <c r="U10" s="173"/>
      <c r="V10" s="173"/>
      <c r="W10" s="173"/>
      <c r="X10" s="181"/>
      <c r="Y10" s="181"/>
      <c r="Z10" s="181"/>
      <c r="AA10" s="181"/>
      <c r="AB10" s="181"/>
      <c r="AC10" s="181"/>
      <c r="AD10" s="173"/>
      <c r="AE10" s="173"/>
      <c r="AF10" s="173"/>
      <c r="AG10" s="184"/>
      <c r="AH10" s="184"/>
      <c r="AI10" s="184"/>
      <c r="AJ10" s="174"/>
    </row>
    <row r="11" spans="1:37" s="95" customFormat="1" x14ac:dyDescent="0.3">
      <c r="A11" s="171" t="s">
        <v>251</v>
      </c>
      <c r="B11" s="175" t="s">
        <v>288</v>
      </c>
      <c r="C11" s="175"/>
      <c r="D11" s="176"/>
      <c r="E11" s="176"/>
      <c r="F11" s="176"/>
      <c r="G11" s="176"/>
      <c r="H11" s="176"/>
      <c r="I11" s="176"/>
      <c r="J11" s="176"/>
      <c r="K11" s="176"/>
      <c r="L11" s="176"/>
      <c r="M11" s="176"/>
      <c r="N11" s="176"/>
      <c r="O11" s="176"/>
      <c r="P11" s="176"/>
      <c r="Q11" s="176"/>
      <c r="R11" s="176"/>
      <c r="S11" s="176"/>
      <c r="T11" s="176"/>
      <c r="U11" s="176"/>
      <c r="V11" s="176"/>
      <c r="W11" s="176"/>
      <c r="X11" s="182"/>
      <c r="Y11" s="182"/>
      <c r="Z11" s="182"/>
      <c r="AA11" s="182"/>
      <c r="AB11" s="182"/>
      <c r="AC11" s="182"/>
      <c r="AD11" s="176"/>
      <c r="AE11" s="176"/>
      <c r="AF11" s="176"/>
      <c r="AG11" s="185"/>
      <c r="AH11" s="185"/>
      <c r="AI11" s="185"/>
      <c r="AJ11" s="177"/>
      <c r="AK11" s="81"/>
    </row>
    <row r="12" spans="1:37" s="81" customFormat="1" x14ac:dyDescent="0.3">
      <c r="A12" s="170" t="s">
        <v>252</v>
      </c>
      <c r="B12" s="172" t="s">
        <v>289</v>
      </c>
      <c r="C12" s="172"/>
      <c r="D12" s="173"/>
      <c r="E12" s="173"/>
      <c r="F12" s="173"/>
      <c r="G12" s="173"/>
      <c r="H12" s="173"/>
      <c r="I12" s="173"/>
      <c r="J12" s="173"/>
      <c r="K12" s="173"/>
      <c r="L12" s="173"/>
      <c r="M12" s="173"/>
      <c r="N12" s="173"/>
      <c r="O12" s="173"/>
      <c r="P12" s="173"/>
      <c r="Q12" s="173"/>
      <c r="R12" s="173"/>
      <c r="S12" s="173"/>
      <c r="T12" s="173"/>
      <c r="U12" s="173"/>
      <c r="V12" s="173"/>
      <c r="W12" s="173"/>
      <c r="X12" s="181"/>
      <c r="Y12" s="181"/>
      <c r="Z12" s="181"/>
      <c r="AA12" s="181"/>
      <c r="AB12" s="181"/>
      <c r="AC12" s="181"/>
      <c r="AD12" s="173"/>
      <c r="AE12" s="173"/>
      <c r="AF12" s="173"/>
      <c r="AG12" s="184"/>
      <c r="AH12" s="184"/>
      <c r="AI12" s="184"/>
      <c r="AJ12" s="174"/>
    </row>
    <row r="13" spans="1:37" s="95" customFormat="1" x14ac:dyDescent="0.3">
      <c r="A13" s="171" t="s">
        <v>253</v>
      </c>
      <c r="B13" s="175" t="s">
        <v>290</v>
      </c>
      <c r="C13" s="175"/>
      <c r="D13" s="176"/>
      <c r="E13" s="176"/>
      <c r="F13" s="176"/>
      <c r="G13" s="176"/>
      <c r="H13" s="176"/>
      <c r="I13" s="176"/>
      <c r="J13" s="176"/>
      <c r="K13" s="176"/>
      <c r="L13" s="176"/>
      <c r="M13" s="176"/>
      <c r="N13" s="176"/>
      <c r="O13" s="176"/>
      <c r="P13" s="176"/>
      <c r="Q13" s="176"/>
      <c r="R13" s="176"/>
      <c r="S13" s="176"/>
      <c r="T13" s="176"/>
      <c r="U13" s="176"/>
      <c r="V13" s="176"/>
      <c r="W13" s="176"/>
      <c r="X13" s="182"/>
      <c r="Y13" s="182"/>
      <c r="Z13" s="182"/>
      <c r="AA13" s="182"/>
      <c r="AB13" s="182"/>
      <c r="AC13" s="182"/>
      <c r="AD13" s="176"/>
      <c r="AE13" s="176"/>
      <c r="AF13" s="176"/>
      <c r="AG13" s="185"/>
      <c r="AH13" s="185"/>
      <c r="AI13" s="185"/>
      <c r="AJ13" s="177"/>
      <c r="AK13" s="81"/>
    </row>
    <row r="14" spans="1:37" s="81" customFormat="1" x14ac:dyDescent="0.3">
      <c r="A14" s="170" t="s">
        <v>254</v>
      </c>
      <c r="B14" s="172" t="s">
        <v>291</v>
      </c>
      <c r="C14" s="172"/>
      <c r="D14" s="173"/>
      <c r="E14" s="173"/>
      <c r="F14" s="173"/>
      <c r="G14" s="173"/>
      <c r="H14" s="173"/>
      <c r="I14" s="173"/>
      <c r="J14" s="173"/>
      <c r="K14" s="173"/>
      <c r="L14" s="173"/>
      <c r="M14" s="173"/>
      <c r="N14" s="173"/>
      <c r="O14" s="173"/>
      <c r="P14" s="173"/>
      <c r="Q14" s="173"/>
      <c r="R14" s="173"/>
      <c r="S14" s="173"/>
      <c r="T14" s="173"/>
      <c r="U14" s="173"/>
      <c r="V14" s="173"/>
      <c r="W14" s="173"/>
      <c r="X14" s="181"/>
      <c r="Y14" s="181"/>
      <c r="Z14" s="181"/>
      <c r="AA14" s="181"/>
      <c r="AB14" s="181"/>
      <c r="AC14" s="181"/>
      <c r="AD14" s="173"/>
      <c r="AE14" s="173"/>
      <c r="AF14" s="173"/>
      <c r="AG14" s="184"/>
      <c r="AH14" s="184"/>
      <c r="AI14" s="184"/>
      <c r="AJ14" s="174"/>
    </row>
    <row r="15" spans="1:37" s="95" customFormat="1" x14ac:dyDescent="0.3">
      <c r="A15" s="171" t="s">
        <v>255</v>
      </c>
      <c r="B15" s="175" t="s">
        <v>292</v>
      </c>
      <c r="C15" s="175"/>
      <c r="D15" s="176"/>
      <c r="E15" s="176"/>
      <c r="F15" s="176"/>
      <c r="G15" s="176"/>
      <c r="H15" s="176"/>
      <c r="I15" s="176"/>
      <c r="J15" s="176"/>
      <c r="K15" s="176"/>
      <c r="L15" s="176"/>
      <c r="M15" s="176"/>
      <c r="N15" s="176"/>
      <c r="O15" s="176"/>
      <c r="P15" s="176"/>
      <c r="Q15" s="176"/>
      <c r="R15" s="176"/>
      <c r="S15" s="176"/>
      <c r="T15" s="176"/>
      <c r="U15" s="176"/>
      <c r="V15" s="176"/>
      <c r="W15" s="176"/>
      <c r="X15" s="182"/>
      <c r="Y15" s="182"/>
      <c r="Z15" s="182"/>
      <c r="AA15" s="182"/>
      <c r="AB15" s="182"/>
      <c r="AC15" s="182"/>
      <c r="AD15" s="176"/>
      <c r="AE15" s="176"/>
      <c r="AF15" s="176"/>
      <c r="AG15" s="185"/>
      <c r="AH15" s="185"/>
      <c r="AI15" s="185"/>
      <c r="AJ15" s="177"/>
      <c r="AK15" s="81"/>
    </row>
    <row r="16" spans="1:37" s="81" customFormat="1" x14ac:dyDescent="0.3">
      <c r="A16" s="170" t="s">
        <v>256</v>
      </c>
      <c r="B16" s="172" t="s">
        <v>293</v>
      </c>
      <c r="C16" s="172"/>
      <c r="D16" s="173"/>
      <c r="E16" s="173"/>
      <c r="F16" s="173"/>
      <c r="G16" s="173"/>
      <c r="H16" s="173"/>
      <c r="I16" s="173"/>
      <c r="J16" s="173"/>
      <c r="K16" s="173"/>
      <c r="L16" s="173"/>
      <c r="M16" s="173"/>
      <c r="N16" s="173"/>
      <c r="O16" s="173"/>
      <c r="P16" s="173"/>
      <c r="Q16" s="173"/>
      <c r="R16" s="173"/>
      <c r="S16" s="173"/>
      <c r="T16" s="173"/>
      <c r="U16" s="173"/>
      <c r="V16" s="173"/>
      <c r="W16" s="173"/>
      <c r="X16" s="181"/>
      <c r="Y16" s="181"/>
      <c r="Z16" s="181"/>
      <c r="AA16" s="181"/>
      <c r="AB16" s="181"/>
      <c r="AC16" s="181"/>
      <c r="AD16" s="173"/>
      <c r="AE16" s="173"/>
      <c r="AF16" s="173"/>
      <c r="AG16" s="184"/>
      <c r="AH16" s="184"/>
      <c r="AI16" s="184"/>
      <c r="AJ16" s="174"/>
    </row>
    <row r="17" spans="1:37" s="95" customFormat="1" x14ac:dyDescent="0.3">
      <c r="A17" s="171" t="s">
        <v>257</v>
      </c>
      <c r="B17" s="175" t="s">
        <v>294</v>
      </c>
      <c r="C17" s="175"/>
      <c r="D17" s="176"/>
      <c r="E17" s="176"/>
      <c r="F17" s="176"/>
      <c r="G17" s="176"/>
      <c r="H17" s="176"/>
      <c r="I17" s="176"/>
      <c r="J17" s="176"/>
      <c r="K17" s="176"/>
      <c r="L17" s="176"/>
      <c r="M17" s="176"/>
      <c r="N17" s="176"/>
      <c r="O17" s="176"/>
      <c r="P17" s="176"/>
      <c r="Q17" s="176"/>
      <c r="R17" s="176"/>
      <c r="S17" s="176"/>
      <c r="T17" s="176"/>
      <c r="U17" s="176"/>
      <c r="V17" s="176"/>
      <c r="W17" s="176"/>
      <c r="X17" s="182"/>
      <c r="Y17" s="182"/>
      <c r="Z17" s="182"/>
      <c r="AA17" s="182"/>
      <c r="AB17" s="182"/>
      <c r="AC17" s="182"/>
      <c r="AD17" s="176"/>
      <c r="AE17" s="176"/>
      <c r="AF17" s="176"/>
      <c r="AG17" s="185"/>
      <c r="AH17" s="185"/>
      <c r="AI17" s="185"/>
      <c r="AJ17" s="177"/>
      <c r="AK17" s="81"/>
    </row>
    <row r="18" spans="1:37" s="81" customFormat="1" x14ac:dyDescent="0.3">
      <c r="A18" s="170" t="s">
        <v>258</v>
      </c>
      <c r="B18" s="172" t="s">
        <v>295</v>
      </c>
      <c r="C18" s="172"/>
      <c r="D18" s="173"/>
      <c r="E18" s="173"/>
      <c r="F18" s="173"/>
      <c r="G18" s="173"/>
      <c r="H18" s="173"/>
      <c r="I18" s="173"/>
      <c r="J18" s="173"/>
      <c r="K18" s="173"/>
      <c r="L18" s="173"/>
      <c r="M18" s="173"/>
      <c r="N18" s="173"/>
      <c r="O18" s="173"/>
      <c r="P18" s="173"/>
      <c r="Q18" s="173"/>
      <c r="R18" s="173"/>
      <c r="S18" s="173"/>
      <c r="T18" s="173"/>
      <c r="U18" s="173"/>
      <c r="V18" s="173"/>
      <c r="W18" s="173"/>
      <c r="X18" s="181"/>
      <c r="Y18" s="181"/>
      <c r="Z18" s="181"/>
      <c r="AA18" s="181"/>
      <c r="AB18" s="181"/>
      <c r="AC18" s="181"/>
      <c r="AD18" s="173"/>
      <c r="AE18" s="173"/>
      <c r="AF18" s="173"/>
      <c r="AG18" s="184"/>
      <c r="AH18" s="184"/>
      <c r="AI18" s="184"/>
      <c r="AJ18" s="174"/>
    </row>
    <row r="19" spans="1:37" s="95" customFormat="1" x14ac:dyDescent="0.3">
      <c r="A19" s="171" t="s">
        <v>259</v>
      </c>
      <c r="B19" s="175" t="s">
        <v>296</v>
      </c>
      <c r="C19" s="175"/>
      <c r="D19" s="176"/>
      <c r="E19" s="176"/>
      <c r="F19" s="176"/>
      <c r="G19" s="176"/>
      <c r="H19" s="176"/>
      <c r="I19" s="176"/>
      <c r="J19" s="176"/>
      <c r="K19" s="176"/>
      <c r="L19" s="176"/>
      <c r="M19" s="176"/>
      <c r="N19" s="176"/>
      <c r="O19" s="176"/>
      <c r="P19" s="176"/>
      <c r="Q19" s="176"/>
      <c r="R19" s="176"/>
      <c r="S19" s="176"/>
      <c r="T19" s="176"/>
      <c r="U19" s="176"/>
      <c r="V19" s="176"/>
      <c r="W19" s="176"/>
      <c r="X19" s="182"/>
      <c r="Y19" s="182"/>
      <c r="Z19" s="182"/>
      <c r="AA19" s="182"/>
      <c r="AB19" s="182"/>
      <c r="AC19" s="182"/>
      <c r="AD19" s="176"/>
      <c r="AE19" s="176"/>
      <c r="AF19" s="176"/>
      <c r="AG19" s="185"/>
      <c r="AH19" s="185"/>
      <c r="AI19" s="185"/>
      <c r="AJ19" s="177"/>
      <c r="AK19" s="81"/>
    </row>
    <row r="20" spans="1:37" s="81" customFormat="1" x14ac:dyDescent="0.3">
      <c r="A20" s="170" t="s">
        <v>260</v>
      </c>
      <c r="B20" s="172" t="s">
        <v>297</v>
      </c>
      <c r="C20" s="172"/>
      <c r="D20" s="173"/>
      <c r="E20" s="173"/>
      <c r="F20" s="173"/>
      <c r="G20" s="173"/>
      <c r="H20" s="173"/>
      <c r="I20" s="173"/>
      <c r="J20" s="173"/>
      <c r="K20" s="173"/>
      <c r="L20" s="173"/>
      <c r="M20" s="173"/>
      <c r="N20" s="173"/>
      <c r="O20" s="173"/>
      <c r="P20" s="173"/>
      <c r="Q20" s="173"/>
      <c r="R20" s="173"/>
      <c r="S20" s="173"/>
      <c r="T20" s="173"/>
      <c r="U20" s="173"/>
      <c r="V20" s="173"/>
      <c r="W20" s="173"/>
      <c r="X20" s="181"/>
      <c r="Y20" s="181"/>
      <c r="Z20" s="181"/>
      <c r="AA20" s="181"/>
      <c r="AB20" s="181"/>
      <c r="AC20" s="181"/>
      <c r="AD20" s="173"/>
      <c r="AE20" s="173"/>
      <c r="AF20" s="173"/>
      <c r="AG20" s="184"/>
      <c r="AH20" s="184"/>
      <c r="AI20" s="184"/>
      <c r="AJ20" s="174"/>
    </row>
    <row r="21" spans="1:37" s="95" customFormat="1" x14ac:dyDescent="0.3">
      <c r="A21" s="171" t="s">
        <v>261</v>
      </c>
      <c r="B21" s="175" t="s">
        <v>298</v>
      </c>
      <c r="C21" s="175"/>
      <c r="D21" s="176"/>
      <c r="E21" s="176"/>
      <c r="F21" s="176"/>
      <c r="G21" s="176"/>
      <c r="H21" s="176"/>
      <c r="I21" s="176"/>
      <c r="J21" s="176"/>
      <c r="K21" s="176"/>
      <c r="L21" s="176"/>
      <c r="M21" s="176"/>
      <c r="N21" s="176"/>
      <c r="O21" s="176"/>
      <c r="P21" s="176"/>
      <c r="Q21" s="176"/>
      <c r="R21" s="176"/>
      <c r="S21" s="176"/>
      <c r="T21" s="176"/>
      <c r="U21" s="176"/>
      <c r="V21" s="176"/>
      <c r="W21" s="176"/>
      <c r="X21" s="182"/>
      <c r="Y21" s="182"/>
      <c r="Z21" s="182"/>
      <c r="AA21" s="182"/>
      <c r="AB21" s="182"/>
      <c r="AC21" s="182"/>
      <c r="AD21" s="176"/>
      <c r="AE21" s="176"/>
      <c r="AF21" s="176"/>
      <c r="AG21" s="185"/>
      <c r="AH21" s="185"/>
      <c r="AI21" s="185"/>
      <c r="AJ21" s="177"/>
      <c r="AK21" s="81"/>
    </row>
    <row r="22" spans="1:37" s="81" customFormat="1" x14ac:dyDescent="0.3">
      <c r="A22" s="170" t="s">
        <v>262</v>
      </c>
      <c r="B22" s="172" t="s">
        <v>299</v>
      </c>
      <c r="C22" s="172"/>
      <c r="D22" s="173"/>
      <c r="E22" s="173"/>
      <c r="F22" s="173"/>
      <c r="G22" s="173"/>
      <c r="H22" s="173"/>
      <c r="I22" s="173"/>
      <c r="J22" s="173"/>
      <c r="K22" s="173"/>
      <c r="L22" s="173"/>
      <c r="M22" s="173"/>
      <c r="N22" s="173"/>
      <c r="O22" s="173"/>
      <c r="P22" s="173"/>
      <c r="Q22" s="173"/>
      <c r="R22" s="173"/>
      <c r="S22" s="173"/>
      <c r="T22" s="173"/>
      <c r="U22" s="173"/>
      <c r="V22" s="173"/>
      <c r="W22" s="173"/>
      <c r="X22" s="181"/>
      <c r="Y22" s="181"/>
      <c r="Z22" s="181"/>
      <c r="AA22" s="181"/>
      <c r="AB22" s="181"/>
      <c r="AC22" s="181"/>
      <c r="AD22" s="173"/>
      <c r="AE22" s="173"/>
      <c r="AF22" s="173"/>
      <c r="AG22" s="184"/>
      <c r="AH22" s="184"/>
      <c r="AI22" s="184"/>
      <c r="AJ22" s="174"/>
    </row>
    <row r="23" spans="1:37" s="95" customFormat="1" x14ac:dyDescent="0.3">
      <c r="A23" s="171" t="s">
        <v>263</v>
      </c>
      <c r="B23" s="175" t="s">
        <v>300</v>
      </c>
      <c r="C23" s="175"/>
      <c r="D23" s="176"/>
      <c r="E23" s="176"/>
      <c r="F23" s="176"/>
      <c r="G23" s="176"/>
      <c r="H23" s="176"/>
      <c r="I23" s="176"/>
      <c r="J23" s="176"/>
      <c r="K23" s="176"/>
      <c r="L23" s="176"/>
      <c r="M23" s="176"/>
      <c r="N23" s="176"/>
      <c r="O23" s="176"/>
      <c r="P23" s="176"/>
      <c r="Q23" s="176"/>
      <c r="R23" s="176"/>
      <c r="S23" s="176"/>
      <c r="T23" s="176"/>
      <c r="U23" s="176"/>
      <c r="V23" s="176"/>
      <c r="W23" s="176"/>
      <c r="X23" s="182"/>
      <c r="Y23" s="182"/>
      <c r="Z23" s="182"/>
      <c r="AA23" s="182"/>
      <c r="AB23" s="182"/>
      <c r="AC23" s="182"/>
      <c r="AD23" s="176"/>
      <c r="AE23" s="176"/>
      <c r="AF23" s="176"/>
      <c r="AG23" s="185"/>
      <c r="AH23" s="185"/>
      <c r="AI23" s="185"/>
      <c r="AJ23" s="177"/>
      <c r="AK23" s="81"/>
    </row>
    <row r="24" spans="1:37" s="81" customFormat="1" x14ac:dyDescent="0.3">
      <c r="A24" s="170" t="s">
        <v>264</v>
      </c>
      <c r="B24" s="172" t="s">
        <v>301</v>
      </c>
      <c r="C24" s="172"/>
      <c r="D24" s="173"/>
      <c r="E24" s="173"/>
      <c r="F24" s="173"/>
      <c r="G24" s="173"/>
      <c r="H24" s="173"/>
      <c r="I24" s="173"/>
      <c r="J24" s="173"/>
      <c r="K24" s="173"/>
      <c r="L24" s="173"/>
      <c r="M24" s="173"/>
      <c r="N24" s="173"/>
      <c r="O24" s="173"/>
      <c r="P24" s="173"/>
      <c r="Q24" s="173"/>
      <c r="R24" s="173"/>
      <c r="S24" s="173"/>
      <c r="T24" s="173"/>
      <c r="U24" s="173"/>
      <c r="V24" s="173"/>
      <c r="W24" s="173"/>
      <c r="X24" s="181"/>
      <c r="Y24" s="181"/>
      <c r="Z24" s="181"/>
      <c r="AA24" s="181"/>
      <c r="AB24" s="181"/>
      <c r="AC24" s="181"/>
      <c r="AD24" s="173"/>
      <c r="AE24" s="173"/>
      <c r="AF24" s="173"/>
      <c r="AG24" s="184"/>
      <c r="AH24" s="184"/>
      <c r="AI24" s="184"/>
      <c r="AJ24" s="174"/>
    </row>
    <row r="25" spans="1:37" s="95" customFormat="1" x14ac:dyDescent="0.3">
      <c r="A25" s="171" t="s">
        <v>265</v>
      </c>
      <c r="B25" s="175" t="s">
        <v>302</v>
      </c>
      <c r="C25" s="175"/>
      <c r="D25" s="176"/>
      <c r="E25" s="176"/>
      <c r="F25" s="176"/>
      <c r="G25" s="176"/>
      <c r="H25" s="176"/>
      <c r="I25" s="176"/>
      <c r="J25" s="176"/>
      <c r="K25" s="176"/>
      <c r="L25" s="176"/>
      <c r="M25" s="176"/>
      <c r="N25" s="176"/>
      <c r="O25" s="176"/>
      <c r="P25" s="176"/>
      <c r="Q25" s="176"/>
      <c r="R25" s="176"/>
      <c r="S25" s="176"/>
      <c r="T25" s="176"/>
      <c r="U25" s="176"/>
      <c r="V25" s="176"/>
      <c r="W25" s="176"/>
      <c r="X25" s="182"/>
      <c r="Y25" s="182"/>
      <c r="Z25" s="182"/>
      <c r="AA25" s="182"/>
      <c r="AB25" s="182"/>
      <c r="AC25" s="182"/>
      <c r="AD25" s="176"/>
      <c r="AE25" s="176"/>
      <c r="AF25" s="176"/>
      <c r="AG25" s="185"/>
      <c r="AH25" s="185"/>
      <c r="AI25" s="185"/>
      <c r="AJ25" s="177"/>
      <c r="AK25" s="81"/>
    </row>
    <row r="26" spans="1:37" s="81" customFormat="1" x14ac:dyDescent="0.3">
      <c r="A26" s="170" t="s">
        <v>266</v>
      </c>
      <c r="B26" s="172" t="s">
        <v>303</v>
      </c>
      <c r="C26" s="172"/>
      <c r="D26" s="173"/>
      <c r="E26" s="173"/>
      <c r="F26" s="173"/>
      <c r="G26" s="173"/>
      <c r="H26" s="173"/>
      <c r="I26" s="173"/>
      <c r="J26" s="173"/>
      <c r="K26" s="173"/>
      <c r="L26" s="173"/>
      <c r="M26" s="173"/>
      <c r="N26" s="173"/>
      <c r="O26" s="173"/>
      <c r="P26" s="173"/>
      <c r="Q26" s="173"/>
      <c r="R26" s="173"/>
      <c r="S26" s="173"/>
      <c r="T26" s="173"/>
      <c r="U26" s="173"/>
      <c r="V26" s="173"/>
      <c r="W26" s="173"/>
      <c r="X26" s="181"/>
      <c r="Y26" s="181"/>
      <c r="Z26" s="181"/>
      <c r="AA26" s="181"/>
      <c r="AB26" s="181"/>
      <c r="AC26" s="181"/>
      <c r="AD26" s="173"/>
      <c r="AE26" s="173"/>
      <c r="AF26" s="173"/>
      <c r="AG26" s="184"/>
      <c r="AH26" s="184"/>
      <c r="AI26" s="184"/>
      <c r="AJ26" s="174"/>
    </row>
    <row r="27" spans="1:37" s="95" customFormat="1" x14ac:dyDescent="0.3">
      <c r="A27" s="171" t="s">
        <v>267</v>
      </c>
      <c r="B27" s="175" t="s">
        <v>304</v>
      </c>
      <c r="C27" s="175"/>
      <c r="D27" s="176"/>
      <c r="E27" s="176"/>
      <c r="F27" s="176"/>
      <c r="G27" s="176"/>
      <c r="H27" s="176"/>
      <c r="I27" s="176"/>
      <c r="J27" s="176"/>
      <c r="K27" s="176"/>
      <c r="L27" s="176"/>
      <c r="M27" s="176"/>
      <c r="N27" s="176"/>
      <c r="O27" s="176"/>
      <c r="P27" s="176"/>
      <c r="Q27" s="176"/>
      <c r="R27" s="176"/>
      <c r="S27" s="176"/>
      <c r="T27" s="176"/>
      <c r="U27" s="176"/>
      <c r="V27" s="176"/>
      <c r="W27" s="176"/>
      <c r="X27" s="182"/>
      <c r="Y27" s="182"/>
      <c r="Z27" s="182"/>
      <c r="AA27" s="182"/>
      <c r="AB27" s="182"/>
      <c r="AC27" s="182"/>
      <c r="AD27" s="176"/>
      <c r="AE27" s="176"/>
      <c r="AF27" s="176"/>
      <c r="AG27" s="185"/>
      <c r="AH27" s="185"/>
      <c r="AI27" s="185"/>
      <c r="AJ27" s="177"/>
      <c r="AK27" s="81"/>
    </row>
    <row r="28" spans="1:37" s="81" customFormat="1" x14ac:dyDescent="0.3">
      <c r="A28" s="170" t="s">
        <v>268</v>
      </c>
      <c r="B28" s="172" t="s">
        <v>305</v>
      </c>
      <c r="C28" s="172"/>
      <c r="D28" s="173"/>
      <c r="E28" s="173"/>
      <c r="F28" s="173"/>
      <c r="G28" s="173"/>
      <c r="H28" s="173"/>
      <c r="I28" s="173"/>
      <c r="J28" s="173"/>
      <c r="K28" s="173"/>
      <c r="L28" s="173"/>
      <c r="M28" s="173"/>
      <c r="N28" s="173"/>
      <c r="O28" s="173"/>
      <c r="P28" s="173"/>
      <c r="Q28" s="173"/>
      <c r="R28" s="173"/>
      <c r="S28" s="173"/>
      <c r="T28" s="173"/>
      <c r="U28" s="173"/>
      <c r="V28" s="173"/>
      <c r="W28" s="173"/>
      <c r="X28" s="181"/>
      <c r="Y28" s="181"/>
      <c r="Z28" s="181"/>
      <c r="AA28" s="181"/>
      <c r="AB28" s="181"/>
      <c r="AC28" s="181"/>
      <c r="AD28" s="173"/>
      <c r="AE28" s="173"/>
      <c r="AF28" s="173"/>
      <c r="AG28" s="184"/>
      <c r="AH28" s="184"/>
      <c r="AI28" s="184"/>
      <c r="AJ28" s="174"/>
    </row>
    <row r="29" spans="1:37" s="95" customFormat="1" x14ac:dyDescent="0.3">
      <c r="A29" s="171" t="s">
        <v>269</v>
      </c>
      <c r="B29" s="175" t="s">
        <v>306</v>
      </c>
      <c r="C29" s="175"/>
      <c r="D29" s="176"/>
      <c r="E29" s="176"/>
      <c r="F29" s="176"/>
      <c r="G29" s="176"/>
      <c r="H29" s="176"/>
      <c r="I29" s="176"/>
      <c r="J29" s="176"/>
      <c r="K29" s="176"/>
      <c r="L29" s="176"/>
      <c r="M29" s="176"/>
      <c r="N29" s="176"/>
      <c r="O29" s="176"/>
      <c r="P29" s="176"/>
      <c r="Q29" s="176"/>
      <c r="R29" s="176"/>
      <c r="S29" s="176"/>
      <c r="T29" s="176"/>
      <c r="U29" s="176"/>
      <c r="V29" s="176"/>
      <c r="W29" s="176"/>
      <c r="X29" s="182"/>
      <c r="Y29" s="182"/>
      <c r="Z29" s="182"/>
      <c r="AA29" s="182"/>
      <c r="AB29" s="182"/>
      <c r="AC29" s="182"/>
      <c r="AD29" s="176"/>
      <c r="AE29" s="176"/>
      <c r="AF29" s="176"/>
      <c r="AG29" s="185"/>
      <c r="AH29" s="185"/>
      <c r="AI29" s="185"/>
      <c r="AJ29" s="177"/>
      <c r="AK29" s="81"/>
    </row>
    <row r="30" spans="1:37" s="81" customFormat="1" x14ac:dyDescent="0.3">
      <c r="A30" s="170" t="s">
        <v>270</v>
      </c>
      <c r="B30" s="172" t="s">
        <v>307</v>
      </c>
      <c r="C30" s="172"/>
      <c r="D30" s="173"/>
      <c r="E30" s="173"/>
      <c r="F30" s="173"/>
      <c r="G30" s="173"/>
      <c r="H30" s="173"/>
      <c r="I30" s="173"/>
      <c r="J30" s="173"/>
      <c r="K30" s="173"/>
      <c r="L30" s="173"/>
      <c r="M30" s="173"/>
      <c r="N30" s="173"/>
      <c r="O30" s="173"/>
      <c r="P30" s="173"/>
      <c r="Q30" s="173"/>
      <c r="R30" s="173"/>
      <c r="S30" s="173"/>
      <c r="T30" s="173"/>
      <c r="U30" s="173"/>
      <c r="V30" s="173"/>
      <c r="W30" s="173"/>
      <c r="X30" s="181"/>
      <c r="Y30" s="181"/>
      <c r="Z30" s="181"/>
      <c r="AA30" s="181"/>
      <c r="AB30" s="181"/>
      <c r="AC30" s="181"/>
      <c r="AD30" s="173"/>
      <c r="AE30" s="173"/>
      <c r="AF30" s="173"/>
      <c r="AG30" s="184"/>
      <c r="AH30" s="184"/>
      <c r="AI30" s="184"/>
      <c r="AJ30" s="174"/>
    </row>
    <row r="31" spans="1:37" s="95" customFormat="1" x14ac:dyDescent="0.3">
      <c r="A31" s="171" t="s">
        <v>271</v>
      </c>
      <c r="B31" s="175" t="s">
        <v>308</v>
      </c>
      <c r="C31" s="175"/>
      <c r="D31" s="176"/>
      <c r="E31" s="176"/>
      <c r="F31" s="176"/>
      <c r="G31" s="176"/>
      <c r="H31" s="176"/>
      <c r="I31" s="176"/>
      <c r="J31" s="176"/>
      <c r="K31" s="176"/>
      <c r="L31" s="176"/>
      <c r="M31" s="176"/>
      <c r="N31" s="176"/>
      <c r="O31" s="176"/>
      <c r="P31" s="176"/>
      <c r="Q31" s="176"/>
      <c r="R31" s="176"/>
      <c r="S31" s="176"/>
      <c r="T31" s="176"/>
      <c r="U31" s="176"/>
      <c r="V31" s="176"/>
      <c r="W31" s="176"/>
      <c r="X31" s="182"/>
      <c r="Y31" s="182"/>
      <c r="Z31" s="182"/>
      <c r="AA31" s="182"/>
      <c r="AB31" s="182"/>
      <c r="AC31" s="182"/>
      <c r="AD31" s="176"/>
      <c r="AE31" s="176"/>
      <c r="AF31" s="176"/>
      <c r="AG31" s="185"/>
      <c r="AH31" s="185"/>
      <c r="AI31" s="185"/>
      <c r="AJ31" s="177"/>
      <c r="AK31" s="81"/>
    </row>
    <row r="32" spans="1:37" s="81" customFormat="1" x14ac:dyDescent="0.3">
      <c r="A32" s="170" t="s">
        <v>272</v>
      </c>
      <c r="B32" s="172" t="s">
        <v>309</v>
      </c>
      <c r="C32" s="172"/>
      <c r="D32" s="173"/>
      <c r="E32" s="173"/>
      <c r="F32" s="173"/>
      <c r="G32" s="173"/>
      <c r="H32" s="173"/>
      <c r="I32" s="173"/>
      <c r="J32" s="173"/>
      <c r="K32" s="173"/>
      <c r="L32" s="173"/>
      <c r="M32" s="173"/>
      <c r="N32" s="173"/>
      <c r="O32" s="173"/>
      <c r="P32" s="173"/>
      <c r="Q32" s="173"/>
      <c r="R32" s="173"/>
      <c r="S32" s="173"/>
      <c r="T32" s="173"/>
      <c r="U32" s="173"/>
      <c r="V32" s="173"/>
      <c r="W32" s="173"/>
      <c r="X32" s="181"/>
      <c r="Y32" s="181"/>
      <c r="Z32" s="181"/>
      <c r="AA32" s="181"/>
      <c r="AB32" s="181"/>
      <c r="AC32" s="181"/>
      <c r="AD32" s="173"/>
      <c r="AE32" s="173"/>
      <c r="AF32" s="173"/>
      <c r="AG32" s="184"/>
      <c r="AH32" s="184"/>
      <c r="AI32" s="184"/>
      <c r="AJ32" s="174"/>
    </row>
    <row r="33" spans="1:37" s="95" customFormat="1" x14ac:dyDescent="0.3">
      <c r="A33" s="171" t="s">
        <v>273</v>
      </c>
      <c r="B33" s="175" t="s">
        <v>310</v>
      </c>
      <c r="C33" s="175"/>
      <c r="D33" s="176"/>
      <c r="E33" s="176"/>
      <c r="F33" s="176"/>
      <c r="G33" s="176"/>
      <c r="H33" s="176"/>
      <c r="I33" s="176"/>
      <c r="J33" s="176"/>
      <c r="K33" s="176"/>
      <c r="L33" s="176"/>
      <c r="M33" s="176"/>
      <c r="N33" s="176"/>
      <c r="O33" s="176"/>
      <c r="P33" s="176"/>
      <c r="Q33" s="176"/>
      <c r="R33" s="176"/>
      <c r="S33" s="176"/>
      <c r="T33" s="176"/>
      <c r="U33" s="176"/>
      <c r="V33" s="176"/>
      <c r="W33" s="176"/>
      <c r="X33" s="182"/>
      <c r="Y33" s="182"/>
      <c r="Z33" s="182"/>
      <c r="AA33" s="182"/>
      <c r="AB33" s="182"/>
      <c r="AC33" s="182"/>
      <c r="AD33" s="176"/>
      <c r="AE33" s="176"/>
      <c r="AF33" s="176"/>
      <c r="AG33" s="185"/>
      <c r="AH33" s="185"/>
      <c r="AI33" s="185"/>
      <c r="AJ33" s="177"/>
      <c r="AK33" s="81"/>
    </row>
    <row r="34" spans="1:37" s="81" customFormat="1" x14ac:dyDescent="0.3">
      <c r="A34" s="170" t="s">
        <v>274</v>
      </c>
      <c r="B34" s="172" t="s">
        <v>311</v>
      </c>
      <c r="C34" s="172"/>
      <c r="D34" s="173"/>
      <c r="E34" s="173"/>
      <c r="F34" s="173"/>
      <c r="G34" s="173"/>
      <c r="H34" s="173"/>
      <c r="I34" s="173"/>
      <c r="J34" s="173"/>
      <c r="K34" s="173"/>
      <c r="L34" s="173"/>
      <c r="M34" s="173"/>
      <c r="N34" s="173"/>
      <c r="O34" s="173"/>
      <c r="P34" s="173"/>
      <c r="Q34" s="173"/>
      <c r="R34" s="173"/>
      <c r="S34" s="173"/>
      <c r="T34" s="173"/>
      <c r="U34" s="173"/>
      <c r="V34" s="173"/>
      <c r="W34" s="173"/>
      <c r="X34" s="181"/>
      <c r="Y34" s="181"/>
      <c r="Z34" s="181"/>
      <c r="AA34" s="181"/>
      <c r="AB34" s="181"/>
      <c r="AC34" s="181"/>
      <c r="AD34" s="173"/>
      <c r="AE34" s="173"/>
      <c r="AF34" s="173"/>
      <c r="AG34" s="184"/>
      <c r="AH34" s="184"/>
      <c r="AI34" s="184"/>
      <c r="AJ34" s="174"/>
    </row>
    <row r="35" spans="1:37" s="95" customFormat="1" x14ac:dyDescent="0.3">
      <c r="A35" s="171" t="s">
        <v>275</v>
      </c>
      <c r="B35" s="175" t="s">
        <v>312</v>
      </c>
      <c r="C35" s="175"/>
      <c r="D35" s="176"/>
      <c r="E35" s="176"/>
      <c r="F35" s="176"/>
      <c r="G35" s="176"/>
      <c r="H35" s="176"/>
      <c r="I35" s="176"/>
      <c r="J35" s="176"/>
      <c r="K35" s="176"/>
      <c r="L35" s="176"/>
      <c r="M35" s="176"/>
      <c r="N35" s="176"/>
      <c r="O35" s="176"/>
      <c r="P35" s="176"/>
      <c r="Q35" s="176"/>
      <c r="R35" s="176"/>
      <c r="S35" s="176"/>
      <c r="T35" s="176"/>
      <c r="U35" s="176"/>
      <c r="V35" s="176"/>
      <c r="W35" s="176"/>
      <c r="X35" s="182"/>
      <c r="Y35" s="182"/>
      <c r="Z35" s="182"/>
      <c r="AA35" s="182"/>
      <c r="AB35" s="182"/>
      <c r="AC35" s="182"/>
      <c r="AD35" s="176"/>
      <c r="AE35" s="176"/>
      <c r="AF35" s="176"/>
      <c r="AG35" s="185"/>
      <c r="AH35" s="185"/>
      <c r="AI35" s="185"/>
      <c r="AJ35" s="177"/>
      <c r="AK35" s="81"/>
    </row>
    <row r="36" spans="1:37" s="81" customFormat="1" x14ac:dyDescent="0.3">
      <c r="A36" s="170" t="s">
        <v>276</v>
      </c>
      <c r="B36" s="172" t="s">
        <v>313</v>
      </c>
      <c r="C36" s="172"/>
      <c r="D36" s="173"/>
      <c r="E36" s="173"/>
      <c r="F36" s="173"/>
      <c r="G36" s="173"/>
      <c r="H36" s="173"/>
      <c r="I36" s="173"/>
      <c r="J36" s="173"/>
      <c r="K36" s="173"/>
      <c r="L36" s="173"/>
      <c r="M36" s="173"/>
      <c r="N36" s="173"/>
      <c r="O36" s="173"/>
      <c r="P36" s="173"/>
      <c r="Q36" s="173"/>
      <c r="R36" s="173"/>
      <c r="S36" s="173"/>
      <c r="T36" s="173"/>
      <c r="U36" s="173"/>
      <c r="V36" s="173"/>
      <c r="W36" s="173"/>
      <c r="X36" s="181"/>
      <c r="Y36" s="181"/>
      <c r="Z36" s="181"/>
      <c r="AA36" s="181"/>
      <c r="AB36" s="181"/>
      <c r="AC36" s="181"/>
      <c r="AD36" s="173"/>
      <c r="AE36" s="173"/>
      <c r="AF36" s="173"/>
      <c r="AG36" s="184"/>
      <c r="AH36" s="184"/>
      <c r="AI36" s="184"/>
      <c r="AJ36" s="174"/>
    </row>
    <row r="37" spans="1:37" s="95" customFormat="1" x14ac:dyDescent="0.3">
      <c r="A37" s="171" t="s">
        <v>277</v>
      </c>
      <c r="B37" s="175" t="s">
        <v>314</v>
      </c>
      <c r="C37" s="175"/>
      <c r="D37" s="176"/>
      <c r="E37" s="176"/>
      <c r="F37" s="176"/>
      <c r="G37" s="176"/>
      <c r="H37" s="176"/>
      <c r="I37" s="176"/>
      <c r="J37" s="176"/>
      <c r="K37" s="176"/>
      <c r="L37" s="176"/>
      <c r="M37" s="176"/>
      <c r="N37" s="176"/>
      <c r="O37" s="176"/>
      <c r="P37" s="176"/>
      <c r="Q37" s="176"/>
      <c r="R37" s="176"/>
      <c r="S37" s="176"/>
      <c r="T37" s="176"/>
      <c r="U37" s="176"/>
      <c r="V37" s="176"/>
      <c r="W37" s="176"/>
      <c r="X37" s="182"/>
      <c r="Y37" s="182"/>
      <c r="Z37" s="182"/>
      <c r="AA37" s="182"/>
      <c r="AB37" s="182"/>
      <c r="AC37" s="182"/>
      <c r="AD37" s="176"/>
      <c r="AE37" s="176"/>
      <c r="AF37" s="176"/>
      <c r="AG37" s="185"/>
      <c r="AH37" s="185"/>
      <c r="AI37" s="185"/>
      <c r="AJ37" s="177"/>
      <c r="AK37" s="81"/>
    </row>
    <row r="38" spans="1:37" s="81" customFormat="1" x14ac:dyDescent="0.3">
      <c r="A38" s="170" t="s">
        <v>278</v>
      </c>
      <c r="B38" s="172" t="s">
        <v>315</v>
      </c>
      <c r="C38" s="172"/>
      <c r="D38" s="173"/>
      <c r="E38" s="173"/>
      <c r="F38" s="173"/>
      <c r="G38" s="173"/>
      <c r="H38" s="173"/>
      <c r="I38" s="173"/>
      <c r="J38" s="173"/>
      <c r="K38" s="173"/>
      <c r="L38" s="173"/>
      <c r="M38" s="173"/>
      <c r="N38" s="173"/>
      <c r="O38" s="173"/>
      <c r="P38" s="173"/>
      <c r="Q38" s="173"/>
      <c r="R38" s="173"/>
      <c r="S38" s="173"/>
      <c r="T38" s="173"/>
      <c r="U38" s="173"/>
      <c r="V38" s="173"/>
      <c r="W38" s="173"/>
      <c r="X38" s="181"/>
      <c r="Y38" s="181"/>
      <c r="Z38" s="181"/>
      <c r="AA38" s="181"/>
      <c r="AB38" s="181"/>
      <c r="AC38" s="181"/>
      <c r="AD38" s="173"/>
      <c r="AE38" s="173"/>
      <c r="AF38" s="173"/>
      <c r="AG38" s="184"/>
      <c r="AH38" s="184"/>
      <c r="AI38" s="184"/>
      <c r="AJ38" s="174"/>
    </row>
    <row r="39" spans="1:37" s="95" customFormat="1" x14ac:dyDescent="0.3">
      <c r="A39" s="171" t="s">
        <v>279</v>
      </c>
      <c r="B39" s="175" t="s">
        <v>316</v>
      </c>
      <c r="C39" s="175"/>
      <c r="D39" s="176"/>
      <c r="E39" s="176"/>
      <c r="F39" s="176"/>
      <c r="G39" s="176"/>
      <c r="H39" s="176"/>
      <c r="I39" s="176"/>
      <c r="J39" s="176"/>
      <c r="K39" s="176"/>
      <c r="L39" s="176"/>
      <c r="M39" s="176"/>
      <c r="N39" s="176"/>
      <c r="O39" s="176"/>
      <c r="P39" s="176"/>
      <c r="Q39" s="176"/>
      <c r="R39" s="176"/>
      <c r="S39" s="176"/>
      <c r="T39" s="176"/>
      <c r="U39" s="176"/>
      <c r="V39" s="176"/>
      <c r="W39" s="176"/>
      <c r="X39" s="182"/>
      <c r="Y39" s="182"/>
      <c r="Z39" s="182"/>
      <c r="AA39" s="182"/>
      <c r="AB39" s="182"/>
      <c r="AC39" s="182"/>
      <c r="AD39" s="176"/>
      <c r="AE39" s="176"/>
      <c r="AF39" s="176"/>
      <c r="AG39" s="185"/>
      <c r="AH39" s="185"/>
      <c r="AI39" s="185"/>
      <c r="AJ39" s="177"/>
      <c r="AK39" s="81"/>
    </row>
    <row r="40" spans="1:37" s="81" customFormat="1" x14ac:dyDescent="0.3">
      <c r="A40" s="170" t="s">
        <v>280</v>
      </c>
      <c r="B40" s="172" t="s">
        <v>317</v>
      </c>
      <c r="C40" s="172"/>
      <c r="D40" s="173"/>
      <c r="E40" s="173"/>
      <c r="F40" s="173"/>
      <c r="G40" s="173"/>
      <c r="H40" s="173"/>
      <c r="I40" s="173"/>
      <c r="J40" s="173"/>
      <c r="K40" s="173"/>
      <c r="L40" s="173"/>
      <c r="M40" s="173"/>
      <c r="N40" s="173"/>
      <c r="O40" s="173"/>
      <c r="P40" s="173"/>
      <c r="Q40" s="173"/>
      <c r="R40" s="173"/>
      <c r="S40" s="173"/>
      <c r="T40" s="173"/>
      <c r="U40" s="173"/>
      <c r="V40" s="173"/>
      <c r="W40" s="173"/>
      <c r="X40" s="181"/>
      <c r="Y40" s="181"/>
      <c r="Z40" s="181"/>
      <c r="AA40" s="181"/>
      <c r="AB40" s="181"/>
      <c r="AC40" s="181"/>
      <c r="AD40" s="173"/>
      <c r="AE40" s="173"/>
      <c r="AF40" s="173"/>
      <c r="AG40" s="184"/>
      <c r="AH40" s="184"/>
      <c r="AI40" s="184"/>
      <c r="AJ40" s="174"/>
    </row>
    <row r="41" spans="1:37" s="95" customFormat="1" x14ac:dyDescent="0.3">
      <c r="A41" s="171" t="s">
        <v>281</v>
      </c>
      <c r="B41" s="175" t="s">
        <v>318</v>
      </c>
      <c r="C41" s="175"/>
      <c r="D41" s="176"/>
      <c r="E41" s="176"/>
      <c r="F41" s="176"/>
      <c r="G41" s="176"/>
      <c r="H41" s="176"/>
      <c r="I41" s="176"/>
      <c r="J41" s="176"/>
      <c r="K41" s="176"/>
      <c r="L41" s="176"/>
      <c r="M41" s="176"/>
      <c r="N41" s="176"/>
      <c r="O41" s="176"/>
      <c r="P41" s="176"/>
      <c r="Q41" s="176"/>
      <c r="R41" s="176"/>
      <c r="S41" s="176"/>
      <c r="T41" s="176"/>
      <c r="U41" s="176"/>
      <c r="V41" s="176"/>
      <c r="W41" s="176"/>
      <c r="X41" s="182"/>
      <c r="Y41" s="182"/>
      <c r="Z41" s="182"/>
      <c r="AA41" s="182"/>
      <c r="AB41" s="182"/>
      <c r="AC41" s="182"/>
      <c r="AD41" s="176"/>
      <c r="AE41" s="176"/>
      <c r="AF41" s="176"/>
      <c r="AG41" s="185"/>
      <c r="AH41" s="185"/>
      <c r="AI41" s="185"/>
      <c r="AJ41" s="177"/>
      <c r="AK41" s="81"/>
    </row>
    <row r="42" spans="1:37" s="81" customFormat="1" x14ac:dyDescent="0.3">
      <c r="A42" s="170" t="s">
        <v>282</v>
      </c>
      <c r="B42" s="172" t="s">
        <v>319</v>
      </c>
      <c r="C42" s="172"/>
      <c r="D42" s="173"/>
      <c r="E42" s="173"/>
      <c r="F42" s="173"/>
      <c r="G42" s="173"/>
      <c r="H42" s="173"/>
      <c r="I42" s="173"/>
      <c r="J42" s="173"/>
      <c r="K42" s="173"/>
      <c r="L42" s="173"/>
      <c r="M42" s="173"/>
      <c r="N42" s="173"/>
      <c r="O42" s="173"/>
      <c r="P42" s="173"/>
      <c r="Q42" s="173"/>
      <c r="R42" s="173"/>
      <c r="S42" s="173"/>
      <c r="T42" s="173"/>
      <c r="U42" s="173"/>
      <c r="V42" s="173"/>
      <c r="W42" s="173"/>
      <c r="X42" s="181"/>
      <c r="Y42" s="181"/>
      <c r="Z42" s="181"/>
      <c r="AA42" s="181"/>
      <c r="AB42" s="181"/>
      <c r="AC42" s="181"/>
      <c r="AD42" s="173"/>
      <c r="AE42" s="173"/>
      <c r="AF42" s="173"/>
      <c r="AG42" s="184"/>
      <c r="AH42" s="184"/>
      <c r="AI42" s="184"/>
      <c r="AJ42" s="174"/>
    </row>
    <row r="43" spans="1:37" s="95" customFormat="1" x14ac:dyDescent="0.3">
      <c r="A43" s="171" t="s">
        <v>283</v>
      </c>
      <c r="B43" s="175" t="s">
        <v>320</v>
      </c>
      <c r="C43" s="175"/>
      <c r="D43" s="176"/>
      <c r="E43" s="176"/>
      <c r="F43" s="176"/>
      <c r="G43" s="176"/>
      <c r="H43" s="176"/>
      <c r="I43" s="176"/>
      <c r="J43" s="176"/>
      <c r="K43" s="176"/>
      <c r="L43" s="176"/>
      <c r="M43" s="176"/>
      <c r="N43" s="176"/>
      <c r="O43" s="176"/>
      <c r="P43" s="176"/>
      <c r="Q43" s="176"/>
      <c r="R43" s="176"/>
      <c r="S43" s="176"/>
      <c r="T43" s="176"/>
      <c r="U43" s="176"/>
      <c r="V43" s="176"/>
      <c r="W43" s="176"/>
      <c r="X43" s="182"/>
      <c r="Y43" s="182"/>
      <c r="Z43" s="182"/>
      <c r="AA43" s="182"/>
      <c r="AB43" s="182"/>
      <c r="AC43" s="182"/>
      <c r="AD43" s="176"/>
      <c r="AE43" s="176"/>
      <c r="AF43" s="176"/>
      <c r="AG43" s="185"/>
      <c r="AH43" s="185"/>
      <c r="AI43" s="185"/>
      <c r="AJ43" s="177"/>
      <c r="AK43" s="81"/>
    </row>
    <row r="44" spans="1:37" s="81" customFormat="1" x14ac:dyDescent="0.3">
      <c r="A44" s="170" t="s">
        <v>284</v>
      </c>
      <c r="B44" s="172" t="s">
        <v>321</v>
      </c>
      <c r="C44" s="172"/>
      <c r="D44" s="173"/>
      <c r="E44" s="173"/>
      <c r="F44" s="173"/>
      <c r="G44" s="173"/>
      <c r="H44" s="173"/>
      <c r="I44" s="173"/>
      <c r="J44" s="173"/>
      <c r="K44" s="173"/>
      <c r="L44" s="173"/>
      <c r="M44" s="173"/>
      <c r="N44" s="173"/>
      <c r="O44" s="173"/>
      <c r="P44" s="173"/>
      <c r="Q44" s="173"/>
      <c r="R44" s="173"/>
      <c r="S44" s="173"/>
      <c r="T44" s="173"/>
      <c r="U44" s="173"/>
      <c r="V44" s="173"/>
      <c r="W44" s="173"/>
      <c r="X44" s="181"/>
      <c r="Y44" s="181"/>
      <c r="Z44" s="181"/>
      <c r="AA44" s="181"/>
      <c r="AB44" s="181"/>
      <c r="AC44" s="181"/>
      <c r="AD44" s="173"/>
      <c r="AE44" s="173"/>
      <c r="AF44" s="173"/>
      <c r="AG44" s="184"/>
      <c r="AH44" s="184"/>
      <c r="AI44" s="184"/>
      <c r="AJ44" s="174"/>
    </row>
    <row r="45" spans="1:37" s="95" customFormat="1" x14ac:dyDescent="0.3">
      <c r="A45" s="171" t="s">
        <v>285</v>
      </c>
      <c r="B45" s="175" t="s">
        <v>322</v>
      </c>
      <c r="C45" s="178"/>
      <c r="D45" s="179"/>
      <c r="E45" s="179"/>
      <c r="F45" s="179"/>
      <c r="G45" s="179"/>
      <c r="H45" s="179"/>
      <c r="I45" s="179"/>
      <c r="J45" s="179"/>
      <c r="K45" s="179"/>
      <c r="L45" s="179"/>
      <c r="M45" s="179"/>
      <c r="N45" s="179"/>
      <c r="O45" s="179"/>
      <c r="P45" s="179"/>
      <c r="Q45" s="179"/>
      <c r="R45" s="179"/>
      <c r="S45" s="179"/>
      <c r="T45" s="179"/>
      <c r="U45" s="179"/>
      <c r="V45" s="179"/>
      <c r="W45" s="179"/>
      <c r="X45" s="183"/>
      <c r="Y45" s="183"/>
      <c r="Z45" s="183"/>
      <c r="AA45" s="183"/>
      <c r="AB45" s="183"/>
      <c r="AC45" s="183"/>
      <c r="AD45" s="179"/>
      <c r="AE45" s="179"/>
      <c r="AF45" s="179"/>
      <c r="AG45" s="186"/>
      <c r="AH45" s="186"/>
      <c r="AI45" s="186"/>
      <c r="AJ45" s="180"/>
      <c r="AK45" s="81"/>
    </row>
    <row r="46" spans="1:37" s="81" customFormat="1" x14ac:dyDescent="0.3">
      <c r="A46" s="170" t="s">
        <v>323</v>
      </c>
      <c r="B46" s="138" t="s">
        <v>324</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E1:V1"/>
    <mergeCell ref="S4:S5"/>
    <mergeCell ref="T4:T5"/>
    <mergeCell ref="U4:U5"/>
    <mergeCell ref="X4:Z4"/>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s>
  <conditionalFormatting sqref="A6:AJ45">
    <cfRule type="expression" dxfId="208" priority="2">
      <formula>MOD(ROW(),2)=0</formula>
    </cfRule>
    <cfRule type="expression" dxfId="207" priority="27">
      <formula>MOD(ROW(),2)=1</formula>
    </cfRule>
  </conditionalFormatting>
  <dataValidations xWindow="1223" yWindow="445"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D6:AD45 AE6:AE8" xr:uid="{00000000-0002-0000-0100-000006000000}">
      <formula1>LIST_PPrv</formula1>
    </dataValidation>
    <dataValidation type="list" allowBlank="1" showErrorMessage="1" prompt="Please select from the dropdown list" sqref="AE9: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 ref="D2" r:id="rId4" xr:uid="{33C7E8DF-FFCA-4286-ACDB-88731AC0B98E}"/>
  </hyperlinks>
  <pageMargins left="0.25" right="0.25" top="0.75" bottom="0.75" header="0.3" footer="0.3"/>
  <pageSetup paperSize="8" scale="55" fitToHeight="0" orientation="landscape" r:id="rId5"/>
  <drawing r:id="rId6"/>
  <legacyDrawing r:id="rId7"/>
  <extLst>
    <ext xmlns:x14="http://schemas.microsoft.com/office/spreadsheetml/2009/9/main" uri="{78C0D931-6437-407d-A8EE-F0AAD7539E65}">
      <x14:conditionalFormattings>
        <x14:conditionalFormatting xmlns:xm="http://schemas.microsoft.com/office/excel/2006/main">
          <x14:cfRule type="expression" priority="1" id="{B02D565D-F825-4CF2-AC97-E9AF5112121B}">
            <xm:f>$V6=HID_dropdown!$A$3</xm:f>
            <x14:dxf>
              <fill>
                <patternFill>
                  <bgColor theme="1"/>
                </patternFill>
              </fill>
            </x14:dxf>
          </x14:cfRule>
          <xm:sqref>W6:Z47</xm:sqref>
        </x14:conditionalFormatting>
      </x14:conditionalFormattings>
    </ex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Q5" activePane="bottomRight" state="frozen"/>
      <selection pane="topRight" activeCell="C1" sqref="C1"/>
      <selection pane="bottomLeft" activeCell="A5" sqref="A5"/>
      <selection pane="bottomRight" activeCell="R17" sqref="R17"/>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19" width="12.5546875" style="62" bestFit="1" customWidth="1"/>
    <col min="20"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Prestations aux familles</v>
      </c>
      <c r="C1" s="163" t="str">
        <f ca="1">IF(OFFSET('Inventaire des régimes'!C5,(_xlfn.SHEET()-2),0)=0,"Name of Scheme in English", OFFSET('Inventaire des régimes'!C5,(_xlfn.SHEET()-2),0))</f>
        <v>Branche des Prestations aux familles</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20.399999999999999" x14ac:dyDescent="0.3">
      <c r="A5" s="96" t="s">
        <v>353</v>
      </c>
      <c r="B5" s="187" t="s">
        <v>555</v>
      </c>
      <c r="C5" s="187" t="s">
        <v>555</v>
      </c>
      <c r="D5" s="189"/>
      <c r="E5" s="190" t="s">
        <v>559</v>
      </c>
      <c r="F5" s="189" t="s">
        <v>417</v>
      </c>
      <c r="G5" s="188" t="s">
        <v>421</v>
      </c>
      <c r="H5" s="188" t="s">
        <v>396</v>
      </c>
      <c r="I5" s="225">
        <v>676179</v>
      </c>
      <c r="J5" s="204"/>
      <c r="K5" s="204"/>
      <c r="L5" s="226">
        <v>0</v>
      </c>
      <c r="M5" s="206"/>
      <c r="N5" s="206"/>
      <c r="O5" s="191" t="s">
        <v>425</v>
      </c>
      <c r="P5" s="192" t="s">
        <v>430</v>
      </c>
      <c r="Q5" s="191"/>
      <c r="R5" s="191"/>
      <c r="S5" s="191" t="s">
        <v>560</v>
      </c>
      <c r="T5" s="193" t="s">
        <v>554</v>
      </c>
      <c r="U5" s="193"/>
      <c r="V5" s="193"/>
      <c r="W5" s="194"/>
      <c r="X5" s="194"/>
      <c r="Y5" s="193"/>
      <c r="Z5" s="202"/>
      <c r="AA5" s="188"/>
      <c r="AB5" s="97"/>
    </row>
    <row r="6" spans="1:28" s="63" customFormat="1" ht="22.2" customHeight="1" x14ac:dyDescent="0.3">
      <c r="A6" s="96" t="s">
        <v>354</v>
      </c>
      <c r="B6" s="195" t="s">
        <v>556</v>
      </c>
      <c r="C6" s="195" t="s">
        <v>556</v>
      </c>
      <c r="D6" s="197"/>
      <c r="E6" s="190" t="s">
        <v>559</v>
      </c>
      <c r="F6" s="189" t="s">
        <v>417</v>
      </c>
      <c r="G6" s="188" t="s">
        <v>421</v>
      </c>
      <c r="H6" s="188" t="s">
        <v>396</v>
      </c>
      <c r="I6" s="225">
        <v>676179</v>
      </c>
      <c r="J6" s="207"/>
      <c r="K6" s="207"/>
      <c r="L6" s="227">
        <v>0</v>
      </c>
      <c r="M6" s="208"/>
      <c r="N6" s="208"/>
      <c r="O6" s="191" t="s">
        <v>425</v>
      </c>
      <c r="P6" s="192" t="s">
        <v>430</v>
      </c>
      <c r="Q6" s="192"/>
      <c r="R6" s="192"/>
      <c r="S6" s="192" t="s">
        <v>538</v>
      </c>
      <c r="T6" s="193" t="s">
        <v>554</v>
      </c>
      <c r="U6" s="200"/>
      <c r="V6" s="200"/>
      <c r="W6" s="201"/>
      <c r="X6" s="201"/>
      <c r="Y6" s="200"/>
      <c r="Z6" s="203"/>
      <c r="AA6" s="196"/>
      <c r="AB6" s="97"/>
    </row>
    <row r="7" spans="1:28" s="63" customFormat="1" ht="20.399999999999999" x14ac:dyDescent="0.3">
      <c r="A7" s="96" t="s">
        <v>355</v>
      </c>
      <c r="B7" s="195" t="s">
        <v>557</v>
      </c>
      <c r="C7" s="195" t="s">
        <v>557</v>
      </c>
      <c r="D7" s="197"/>
      <c r="E7" s="190" t="s">
        <v>559</v>
      </c>
      <c r="F7" s="189" t="s">
        <v>417</v>
      </c>
      <c r="G7" s="188" t="s">
        <v>421</v>
      </c>
      <c r="H7" s="188" t="s">
        <v>396</v>
      </c>
      <c r="I7" s="225">
        <v>676179</v>
      </c>
      <c r="J7" s="207"/>
      <c r="K7" s="207"/>
      <c r="L7" s="227">
        <v>267445</v>
      </c>
      <c r="M7" s="208"/>
      <c r="N7" s="208"/>
      <c r="O7" s="191" t="s">
        <v>425</v>
      </c>
      <c r="P7" s="192" t="s">
        <v>430</v>
      </c>
      <c r="Q7" s="192"/>
      <c r="R7" s="192"/>
      <c r="S7" s="192" t="s">
        <v>561</v>
      </c>
      <c r="T7" s="193" t="s">
        <v>554</v>
      </c>
      <c r="U7" s="200"/>
      <c r="V7" s="200"/>
      <c r="W7" s="201"/>
      <c r="X7" s="201"/>
      <c r="Y7" s="200"/>
      <c r="Z7" s="203"/>
      <c r="AA7" s="196"/>
      <c r="AB7" s="97"/>
    </row>
    <row r="8" spans="1:28" s="63" customFormat="1" ht="27.6" x14ac:dyDescent="0.3">
      <c r="A8" s="96" t="s">
        <v>356</v>
      </c>
      <c r="B8" s="195" t="s">
        <v>558</v>
      </c>
      <c r="C8" s="195" t="s">
        <v>558</v>
      </c>
      <c r="D8" s="197"/>
      <c r="E8" s="190" t="s">
        <v>559</v>
      </c>
      <c r="F8" s="189" t="s">
        <v>417</v>
      </c>
      <c r="G8" s="188" t="s">
        <v>421</v>
      </c>
      <c r="H8" s="188" t="s">
        <v>396</v>
      </c>
      <c r="I8" s="225">
        <v>676179</v>
      </c>
      <c r="J8" s="207"/>
      <c r="K8" s="207"/>
      <c r="L8" s="227">
        <v>0</v>
      </c>
      <c r="M8" s="208"/>
      <c r="N8" s="208"/>
      <c r="O8" s="191" t="s">
        <v>425</v>
      </c>
      <c r="P8" s="192" t="s">
        <v>430</v>
      </c>
      <c r="Q8" s="192"/>
      <c r="R8" s="192"/>
      <c r="S8" s="192" t="s">
        <v>538</v>
      </c>
      <c r="T8" s="193" t="s">
        <v>562</v>
      </c>
      <c r="U8" s="200"/>
      <c r="V8" s="200"/>
      <c r="W8" s="201"/>
      <c r="X8" s="201"/>
      <c r="Y8" s="200"/>
      <c r="Z8" s="203"/>
      <c r="AA8" s="196"/>
      <c r="AB8" s="97"/>
    </row>
    <row r="9" spans="1:28" s="63" customFormat="1"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1"/>
    </customSheetView>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phoneticPr fontId="59" type="noConversion"/>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extLst>
    <ext xmlns:x14="http://schemas.microsoft.com/office/spreadsheetml/2009/9/main" uri="{78C0D931-6437-407d-A8EE-F0AAD7539E65}">
      <x14:conditionalFormattings>
        <x14:conditionalFormatting xmlns:xm="http://schemas.microsoft.com/office/excel/2006/main">
          <x14:cfRule type="expression" priority="11"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16"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26"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T5:T19 I5:K19</xm:sqref>
        </x14:conditionalFormatting>
        <x14:conditionalFormatting xmlns:xm="http://schemas.microsoft.com/office/excel/2006/main">
          <x14:cfRule type="expression" priority="28" id="{B1238FB2-7508-4501-931B-170B7C9293D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E1" sqref="E1"/>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Risques Professionnelles</v>
      </c>
      <c r="C1" s="163" t="str">
        <f ca="1">IF(OFFSET('Inventaire des régimes'!C5,(_xlfn.SHEET()-2),0)=0,"Name of Scheme in English", OFFSET('Inventaire des régimes'!C5,(_xlfn.SHEET()-2),0))</f>
        <v>Branche des Risques Professionnels</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30.6" x14ac:dyDescent="0.3">
      <c r="A5" s="96" t="s">
        <v>353</v>
      </c>
      <c r="B5" s="232" t="s">
        <v>542</v>
      </c>
      <c r="C5" s="232" t="s">
        <v>542</v>
      </c>
      <c r="D5" s="189"/>
      <c r="E5" s="190" t="s">
        <v>547</v>
      </c>
      <c r="F5" s="189" t="s">
        <v>417</v>
      </c>
      <c r="G5" s="188" t="s">
        <v>421</v>
      </c>
      <c r="H5" s="188" t="s">
        <v>396</v>
      </c>
      <c r="I5" s="225">
        <v>676179</v>
      </c>
      <c r="J5" s="204"/>
      <c r="K5" s="204"/>
      <c r="L5" s="226">
        <v>1082</v>
      </c>
      <c r="M5" s="206"/>
      <c r="N5" s="206"/>
      <c r="O5" s="191" t="s">
        <v>425</v>
      </c>
      <c r="P5" s="192" t="s">
        <v>430</v>
      </c>
      <c r="Q5" s="229">
        <v>180000</v>
      </c>
      <c r="R5" s="191"/>
      <c r="S5" s="191"/>
      <c r="T5" s="193" t="s">
        <v>554</v>
      </c>
      <c r="U5" s="193"/>
      <c r="V5" s="193"/>
      <c r="W5" s="231" t="s">
        <v>541</v>
      </c>
      <c r="X5" s="231" t="s">
        <v>541</v>
      </c>
      <c r="Y5" s="193"/>
      <c r="Z5" s="202">
        <v>328465664067.65997</v>
      </c>
      <c r="AA5" s="188"/>
      <c r="AB5" s="97"/>
    </row>
    <row r="6" spans="1:28" s="63" customFormat="1" ht="30.6" x14ac:dyDescent="0.3">
      <c r="A6" s="96" t="s">
        <v>354</v>
      </c>
      <c r="B6" s="233" t="s">
        <v>543</v>
      </c>
      <c r="C6" s="233" t="s">
        <v>543</v>
      </c>
      <c r="D6" s="197"/>
      <c r="E6" s="190" t="s">
        <v>547</v>
      </c>
      <c r="F6" s="189" t="s">
        <v>419</v>
      </c>
      <c r="G6" s="188" t="s">
        <v>421</v>
      </c>
      <c r="H6" s="188" t="s">
        <v>396</v>
      </c>
      <c r="I6" s="225">
        <v>676179</v>
      </c>
      <c r="J6" s="207"/>
      <c r="K6" s="207"/>
      <c r="L6" s="227">
        <v>1476</v>
      </c>
      <c r="M6" s="208"/>
      <c r="N6" s="208"/>
      <c r="O6" s="191" t="s">
        <v>425</v>
      </c>
      <c r="P6" s="192" t="s">
        <v>430</v>
      </c>
      <c r="Q6" s="229">
        <v>180000</v>
      </c>
      <c r="R6" s="192"/>
      <c r="S6" s="192"/>
      <c r="T6" s="193" t="s">
        <v>554</v>
      </c>
      <c r="U6" s="200"/>
      <c r="V6" s="200"/>
      <c r="W6" s="199"/>
      <c r="X6" s="199"/>
      <c r="Y6" s="200"/>
      <c r="Z6" s="202">
        <v>328465664067.65997</v>
      </c>
      <c r="AA6" s="196"/>
      <c r="AB6" s="97"/>
    </row>
    <row r="7" spans="1:28" s="63" customFormat="1" ht="30.6" x14ac:dyDescent="0.3">
      <c r="A7" s="96" t="s">
        <v>355</v>
      </c>
      <c r="B7" s="234" t="s">
        <v>544</v>
      </c>
      <c r="C7" s="234" t="s">
        <v>544</v>
      </c>
      <c r="D7" s="197"/>
      <c r="E7" s="190" t="s">
        <v>547</v>
      </c>
      <c r="F7" s="189" t="s">
        <v>417</v>
      </c>
      <c r="G7" s="188" t="s">
        <v>421</v>
      </c>
      <c r="H7" s="188" t="s">
        <v>396</v>
      </c>
      <c r="I7" s="225">
        <v>676179</v>
      </c>
      <c r="J7" s="207"/>
      <c r="K7" s="207"/>
      <c r="L7" s="227"/>
      <c r="M7" s="208"/>
      <c r="N7" s="208"/>
      <c r="O7" s="191" t="s">
        <v>425</v>
      </c>
      <c r="P7" s="192" t="s">
        <v>430</v>
      </c>
      <c r="Q7" s="229">
        <v>180000</v>
      </c>
      <c r="R7" s="192"/>
      <c r="S7" s="192"/>
      <c r="T7" s="193" t="s">
        <v>554</v>
      </c>
      <c r="U7" s="200"/>
      <c r="V7" s="200"/>
      <c r="W7" s="199"/>
      <c r="X7" s="199"/>
      <c r="Y7" s="200"/>
      <c r="Z7" s="202">
        <v>328465664067.65997</v>
      </c>
      <c r="AA7" s="196"/>
      <c r="AB7" s="97"/>
    </row>
    <row r="8" spans="1:28" s="63" customFormat="1" ht="30.6" x14ac:dyDescent="0.3">
      <c r="A8" s="96" t="s">
        <v>356</v>
      </c>
      <c r="B8" s="235" t="s">
        <v>545</v>
      </c>
      <c r="C8" s="235" t="s">
        <v>545</v>
      </c>
      <c r="D8" s="197"/>
      <c r="E8" s="190" t="s">
        <v>547</v>
      </c>
      <c r="F8" s="189" t="s">
        <v>417</v>
      </c>
      <c r="G8" s="188" t="s">
        <v>421</v>
      </c>
      <c r="H8" s="188" t="s">
        <v>396</v>
      </c>
      <c r="I8" s="225">
        <v>676179</v>
      </c>
      <c r="J8" s="207"/>
      <c r="K8" s="207"/>
      <c r="L8" s="227">
        <v>1766</v>
      </c>
      <c r="M8" s="208"/>
      <c r="N8" s="208"/>
      <c r="O8" s="191" t="s">
        <v>425</v>
      </c>
      <c r="P8" s="192" t="s">
        <v>431</v>
      </c>
      <c r="Q8" s="229">
        <v>180000</v>
      </c>
      <c r="R8" s="192"/>
      <c r="S8" s="192"/>
      <c r="T8" s="193" t="s">
        <v>554</v>
      </c>
      <c r="U8" s="200"/>
      <c r="V8" s="200"/>
      <c r="W8" s="199"/>
      <c r="X8" s="199"/>
      <c r="Y8" s="200"/>
      <c r="Z8" s="202">
        <v>328465664067.65997</v>
      </c>
      <c r="AA8" s="196"/>
      <c r="AB8" s="97"/>
    </row>
    <row r="9" spans="1:28" s="63" customFormat="1" ht="30.6" x14ac:dyDescent="0.3">
      <c r="A9" s="96" t="s">
        <v>357</v>
      </c>
      <c r="B9" s="235" t="s">
        <v>546</v>
      </c>
      <c r="C9" s="235" t="s">
        <v>546</v>
      </c>
      <c r="D9" s="197"/>
      <c r="E9" s="190" t="s">
        <v>547</v>
      </c>
      <c r="F9" s="189" t="s">
        <v>417</v>
      </c>
      <c r="G9" s="188" t="s">
        <v>421</v>
      </c>
      <c r="H9" s="188" t="s">
        <v>396</v>
      </c>
      <c r="I9" s="225">
        <v>676179</v>
      </c>
      <c r="J9" s="207"/>
      <c r="K9" s="207"/>
      <c r="L9" s="227"/>
      <c r="M9" s="208"/>
      <c r="N9" s="208"/>
      <c r="O9" s="191" t="s">
        <v>425</v>
      </c>
      <c r="P9" s="192" t="s">
        <v>430</v>
      </c>
      <c r="Q9" s="229">
        <v>180000</v>
      </c>
      <c r="R9" s="192"/>
      <c r="S9" s="192"/>
      <c r="T9" s="193" t="s">
        <v>554</v>
      </c>
      <c r="U9" s="200"/>
      <c r="V9" s="200"/>
      <c r="W9" s="199"/>
      <c r="X9" s="199"/>
      <c r="Y9" s="200"/>
      <c r="Z9" s="202">
        <v>328465664067.65997</v>
      </c>
      <c r="AA9" s="196"/>
      <c r="AB9" s="97"/>
    </row>
    <row r="10" spans="1:28" s="63" customFormat="1" ht="30.6" x14ac:dyDescent="0.3">
      <c r="A10" s="96" t="s">
        <v>358</v>
      </c>
      <c r="B10" s="195" t="s">
        <v>548</v>
      </c>
      <c r="C10" s="195" t="s">
        <v>548</v>
      </c>
      <c r="D10" s="197"/>
      <c r="E10" s="190" t="s">
        <v>547</v>
      </c>
      <c r="F10" s="189" t="s">
        <v>417</v>
      </c>
      <c r="G10" s="188" t="s">
        <v>421</v>
      </c>
      <c r="H10" s="188" t="s">
        <v>396</v>
      </c>
      <c r="I10" s="225">
        <v>676179</v>
      </c>
      <c r="J10" s="207"/>
      <c r="K10" s="207"/>
      <c r="L10" s="209"/>
      <c r="M10" s="208"/>
      <c r="N10" s="208"/>
      <c r="O10" s="192" t="s">
        <v>426</v>
      </c>
      <c r="P10" s="192"/>
      <c r="Q10" s="192"/>
      <c r="R10" s="192"/>
      <c r="S10" s="192"/>
      <c r="T10" s="193" t="s">
        <v>554</v>
      </c>
      <c r="U10" s="200"/>
      <c r="V10" s="200"/>
      <c r="W10" s="201"/>
      <c r="X10" s="201"/>
      <c r="Y10" s="200"/>
      <c r="Z10" s="202">
        <v>328465664067.65997</v>
      </c>
      <c r="AA10" s="196"/>
      <c r="AB10" s="97"/>
    </row>
    <row r="11" spans="1:28" s="63" customFormat="1" ht="30.6" x14ac:dyDescent="0.3">
      <c r="A11" s="96" t="s">
        <v>359</v>
      </c>
      <c r="B11" s="195" t="s">
        <v>549</v>
      </c>
      <c r="C11" s="195" t="s">
        <v>549</v>
      </c>
      <c r="D11" s="197"/>
      <c r="E11" s="190" t="s">
        <v>547</v>
      </c>
      <c r="F11" s="189" t="s">
        <v>417</v>
      </c>
      <c r="G11" s="188" t="s">
        <v>421</v>
      </c>
      <c r="H11" s="188" t="s">
        <v>396</v>
      </c>
      <c r="I11" s="225">
        <v>676179</v>
      </c>
      <c r="J11" s="207"/>
      <c r="K11" s="207"/>
      <c r="L11" s="208"/>
      <c r="M11" s="208"/>
      <c r="N11" s="208"/>
      <c r="O11" s="192" t="s">
        <v>426</v>
      </c>
      <c r="P11" s="192"/>
      <c r="Q11" s="192"/>
      <c r="R11" s="192"/>
      <c r="S11" s="192"/>
      <c r="T11" s="193" t="s">
        <v>554</v>
      </c>
      <c r="U11" s="200"/>
      <c r="V11" s="200"/>
      <c r="W11" s="201"/>
      <c r="X11" s="201"/>
      <c r="Y11" s="200"/>
      <c r="Z11" s="202">
        <v>328465664067.65997</v>
      </c>
      <c r="AA11" s="196"/>
      <c r="AB11" s="97"/>
    </row>
    <row r="12" spans="1:28" s="63" customFormat="1" ht="30.6" x14ac:dyDescent="0.3">
      <c r="A12" s="96" t="s">
        <v>360</v>
      </c>
      <c r="B12" s="195" t="s">
        <v>550</v>
      </c>
      <c r="C12" s="195" t="s">
        <v>550</v>
      </c>
      <c r="D12" s="197"/>
      <c r="E12" s="190" t="s">
        <v>547</v>
      </c>
      <c r="F12" s="189" t="s">
        <v>417</v>
      </c>
      <c r="G12" s="188" t="s">
        <v>421</v>
      </c>
      <c r="H12" s="188" t="s">
        <v>396</v>
      </c>
      <c r="I12" s="225">
        <v>676179</v>
      </c>
      <c r="J12" s="207"/>
      <c r="K12" s="207"/>
      <c r="L12" s="208"/>
      <c r="M12" s="208"/>
      <c r="N12" s="208"/>
      <c r="O12" s="192" t="s">
        <v>426</v>
      </c>
      <c r="P12" s="192"/>
      <c r="Q12" s="192"/>
      <c r="R12" s="192"/>
      <c r="S12" s="192"/>
      <c r="T12" s="193" t="s">
        <v>554</v>
      </c>
      <c r="U12" s="200"/>
      <c r="V12" s="200"/>
      <c r="W12" s="201"/>
      <c r="X12" s="201"/>
      <c r="Y12" s="200"/>
      <c r="Z12" s="202">
        <v>328465664067.65997</v>
      </c>
      <c r="AA12" s="196"/>
      <c r="AB12" s="97"/>
    </row>
    <row r="13" spans="1:28" s="63" customFormat="1" ht="41.4" x14ac:dyDescent="0.3">
      <c r="A13" s="96" t="s">
        <v>361</v>
      </c>
      <c r="B13" s="195" t="s">
        <v>551</v>
      </c>
      <c r="C13" s="195" t="s">
        <v>551</v>
      </c>
      <c r="D13" s="197"/>
      <c r="E13" s="190" t="s">
        <v>547</v>
      </c>
      <c r="F13" s="189" t="s">
        <v>417</v>
      </c>
      <c r="G13" s="188" t="s">
        <v>421</v>
      </c>
      <c r="H13" s="188" t="s">
        <v>396</v>
      </c>
      <c r="I13" s="225">
        <v>676179</v>
      </c>
      <c r="J13" s="207"/>
      <c r="K13" s="207"/>
      <c r="L13" s="208"/>
      <c r="M13" s="208"/>
      <c r="N13" s="208"/>
      <c r="O13" s="192" t="s">
        <v>426</v>
      </c>
      <c r="P13" s="192"/>
      <c r="Q13" s="192"/>
      <c r="R13" s="192"/>
      <c r="S13" s="192"/>
      <c r="T13" s="193" t="s">
        <v>554</v>
      </c>
      <c r="U13" s="200"/>
      <c r="V13" s="200"/>
      <c r="W13" s="201"/>
      <c r="X13" s="201"/>
      <c r="Y13" s="200"/>
      <c r="Z13" s="202">
        <v>328465664067.65997</v>
      </c>
      <c r="AA13" s="196"/>
      <c r="AB13" s="97"/>
    </row>
    <row r="14" spans="1:28" s="63" customFormat="1" ht="30.6" x14ac:dyDescent="0.3">
      <c r="A14" s="96" t="s">
        <v>362</v>
      </c>
      <c r="B14" s="195" t="s">
        <v>552</v>
      </c>
      <c r="C14" s="195" t="s">
        <v>552</v>
      </c>
      <c r="D14" s="197"/>
      <c r="E14" s="190" t="s">
        <v>547</v>
      </c>
      <c r="F14" s="189" t="s">
        <v>417</v>
      </c>
      <c r="G14" s="188" t="s">
        <v>421</v>
      </c>
      <c r="H14" s="188" t="s">
        <v>396</v>
      </c>
      <c r="I14" s="225">
        <v>676179</v>
      </c>
      <c r="J14" s="207"/>
      <c r="K14" s="207"/>
      <c r="L14" s="208"/>
      <c r="M14" s="208"/>
      <c r="N14" s="208"/>
      <c r="O14" s="192" t="s">
        <v>426</v>
      </c>
      <c r="P14" s="192"/>
      <c r="Q14" s="192"/>
      <c r="R14" s="192"/>
      <c r="S14" s="192"/>
      <c r="T14" s="193" t="s">
        <v>554</v>
      </c>
      <c r="U14" s="200"/>
      <c r="V14" s="200"/>
      <c r="W14" s="201"/>
      <c r="X14" s="201"/>
      <c r="Y14" s="200"/>
      <c r="Z14" s="202">
        <v>328465664067.65997</v>
      </c>
      <c r="AA14" s="196"/>
      <c r="AB14" s="97"/>
    </row>
    <row r="15" spans="1:28" s="63" customFormat="1" ht="30.6" x14ac:dyDescent="0.3">
      <c r="A15" s="96" t="s">
        <v>363</v>
      </c>
      <c r="B15" s="195" t="s">
        <v>553</v>
      </c>
      <c r="C15" s="195" t="s">
        <v>553</v>
      </c>
      <c r="D15" s="197"/>
      <c r="E15" s="190" t="s">
        <v>547</v>
      </c>
      <c r="F15" s="189" t="s">
        <v>417</v>
      </c>
      <c r="G15" s="188" t="s">
        <v>421</v>
      </c>
      <c r="H15" s="188" t="s">
        <v>396</v>
      </c>
      <c r="I15" s="225">
        <v>676179</v>
      </c>
      <c r="J15" s="207"/>
      <c r="K15" s="207"/>
      <c r="L15" s="208"/>
      <c r="M15" s="208"/>
      <c r="N15" s="208"/>
      <c r="O15" s="192" t="s">
        <v>426</v>
      </c>
      <c r="P15" s="192"/>
      <c r="Q15" s="192"/>
      <c r="R15" s="192"/>
      <c r="S15" s="192"/>
      <c r="T15" s="193" t="s">
        <v>554</v>
      </c>
      <c r="U15" s="200"/>
      <c r="V15" s="200"/>
      <c r="W15" s="201"/>
      <c r="X15" s="201"/>
      <c r="Y15" s="200"/>
      <c r="Z15" s="202">
        <v>328465664067.65997</v>
      </c>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t="s">
        <v>563</v>
      </c>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9" type="noConversion"/>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1"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2"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3"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T5:T19 I5:K19</xm:sqref>
        </x14:conditionalFormatting>
        <x14:conditionalFormatting xmlns:xm="http://schemas.microsoft.com/office/excel/2006/main">
          <x14:cfRule type="expression" priority="4"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A11" sqref="A11"/>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2.5546875" style="62" customWidth="1"/>
    <col min="8" max="8" width="16.44140625" style="62" customWidth="1"/>
    <col min="9" max="14" width="11.6640625" style="62" customWidth="1"/>
    <col min="15" max="16" width="16.6640625" style="62" bestFit="1" customWidth="1"/>
    <col min="17" max="18" width="12.33203125" style="62" bestFit="1" customWidth="1"/>
    <col min="19" max="19" width="14.44140625" style="62" customWidth="1"/>
    <col min="20"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Pensions</v>
      </c>
      <c r="C1" s="163" t="str">
        <f ca="1">IF(OFFSET('Inventaire des régimes'!C5,(_xlfn.SHEET()-2),0)=0,"Name of Scheme in English", OFFSET('Inventaire des régimes'!C5,(_xlfn.SHEET()-2),0))</f>
        <v>Branche des Pensions</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537</v>
      </c>
      <c r="R4" s="158" t="s">
        <v>537</v>
      </c>
      <c r="S4" s="159"/>
      <c r="T4" s="155"/>
      <c r="U4" s="158" t="s">
        <v>242</v>
      </c>
      <c r="V4" s="158" t="s">
        <v>242</v>
      </c>
      <c r="W4" s="160" t="s">
        <v>243</v>
      </c>
      <c r="X4" s="161" t="s">
        <v>244</v>
      </c>
      <c r="Y4" s="155"/>
      <c r="Z4" s="155"/>
      <c r="AA4" s="155"/>
      <c r="AB4" s="90"/>
    </row>
    <row r="5" spans="1:28" s="63" customFormat="1" ht="13.8" x14ac:dyDescent="0.3">
      <c r="A5" s="96" t="s">
        <v>353</v>
      </c>
      <c r="B5" s="187" t="s">
        <v>531</v>
      </c>
      <c r="C5" s="187" t="s">
        <v>531</v>
      </c>
      <c r="D5" s="189"/>
      <c r="E5" s="190" t="s">
        <v>411</v>
      </c>
      <c r="F5" s="189" t="s">
        <v>418</v>
      </c>
      <c r="G5" s="188" t="s">
        <v>421</v>
      </c>
      <c r="H5" s="188" t="s">
        <v>396</v>
      </c>
      <c r="I5" s="225">
        <v>676179</v>
      </c>
      <c r="J5" s="204"/>
      <c r="K5" s="204"/>
      <c r="L5" s="226">
        <v>38641</v>
      </c>
      <c r="M5" s="206"/>
      <c r="N5" s="206"/>
      <c r="O5" s="191" t="s">
        <v>425</v>
      </c>
      <c r="P5" s="192" t="s">
        <v>430</v>
      </c>
      <c r="Q5" s="229">
        <v>180000</v>
      </c>
      <c r="R5" s="191"/>
      <c r="S5" s="191"/>
      <c r="T5" s="193" t="s">
        <v>540</v>
      </c>
      <c r="U5" s="231"/>
      <c r="V5" s="231"/>
      <c r="W5" s="231" t="s">
        <v>541</v>
      </c>
      <c r="X5" s="231" t="s">
        <v>541</v>
      </c>
      <c r="Y5" s="193"/>
      <c r="Z5" s="202">
        <v>328465664067.65997</v>
      </c>
      <c r="AA5" s="188"/>
      <c r="AB5" s="97"/>
    </row>
    <row r="6" spans="1:28" s="63" customFormat="1" ht="13.8" x14ac:dyDescent="0.3">
      <c r="A6" s="96" t="s">
        <v>354</v>
      </c>
      <c r="B6" s="195" t="s">
        <v>521</v>
      </c>
      <c r="C6" s="195" t="s">
        <v>521</v>
      </c>
      <c r="D6" s="197"/>
      <c r="E6" s="190" t="s">
        <v>411</v>
      </c>
      <c r="F6" s="199" t="s">
        <v>417</v>
      </c>
      <c r="G6" s="188" t="s">
        <v>421</v>
      </c>
      <c r="H6" s="188" t="s">
        <v>396</v>
      </c>
      <c r="I6" s="225">
        <v>676179</v>
      </c>
      <c r="J6" s="207"/>
      <c r="K6" s="207"/>
      <c r="L6" s="227">
        <v>883</v>
      </c>
      <c r="M6" s="208"/>
      <c r="N6" s="208"/>
      <c r="O6" s="192" t="s">
        <v>425</v>
      </c>
      <c r="P6" s="192" t="s">
        <v>430</v>
      </c>
      <c r="Q6" s="229">
        <v>180000</v>
      </c>
      <c r="R6" s="192"/>
      <c r="S6" s="192"/>
      <c r="T6" s="193" t="s">
        <v>540</v>
      </c>
      <c r="U6" s="199"/>
      <c r="V6" s="199"/>
      <c r="W6" s="199"/>
      <c r="X6" s="199"/>
      <c r="Y6" s="200"/>
      <c r="Z6" s="202">
        <v>328465664067.65997</v>
      </c>
      <c r="AA6" s="196"/>
      <c r="AB6" s="97"/>
    </row>
    <row r="7" spans="1:28" s="63" customFormat="1" ht="13.8" x14ac:dyDescent="0.3">
      <c r="A7" s="96" t="s">
        <v>355</v>
      </c>
      <c r="B7" s="195" t="s">
        <v>532</v>
      </c>
      <c r="C7" s="195" t="s">
        <v>532</v>
      </c>
      <c r="D7" s="197"/>
      <c r="E7" s="190" t="s">
        <v>411</v>
      </c>
      <c r="F7" s="199" t="s">
        <v>419</v>
      </c>
      <c r="G7" s="188" t="s">
        <v>421</v>
      </c>
      <c r="H7" s="188" t="s">
        <v>396</v>
      </c>
      <c r="I7" s="225">
        <v>676179</v>
      </c>
      <c r="J7" s="207"/>
      <c r="K7" s="207"/>
      <c r="L7" s="227">
        <v>24725</v>
      </c>
      <c r="M7" s="208"/>
      <c r="N7" s="208"/>
      <c r="O7" s="192" t="s">
        <v>425</v>
      </c>
      <c r="P7" s="192" t="s">
        <v>430</v>
      </c>
      <c r="Q7" s="229">
        <v>180000</v>
      </c>
      <c r="R7" s="192"/>
      <c r="S7" s="192"/>
      <c r="T7" s="193" t="s">
        <v>540</v>
      </c>
      <c r="U7" s="199"/>
      <c r="V7" s="199"/>
      <c r="W7" s="199"/>
      <c r="X7" s="199"/>
      <c r="Y7" s="200"/>
      <c r="Z7" s="202">
        <v>328465664067.65997</v>
      </c>
      <c r="AA7" s="196"/>
      <c r="AB7" s="97"/>
    </row>
    <row r="8" spans="1:28" s="63" customFormat="1" ht="13.8" x14ac:dyDescent="0.3">
      <c r="A8" s="96" t="s">
        <v>356</v>
      </c>
      <c r="B8" s="195" t="s">
        <v>533</v>
      </c>
      <c r="C8" s="195" t="s">
        <v>533</v>
      </c>
      <c r="D8" s="197"/>
      <c r="E8" s="190" t="s">
        <v>411</v>
      </c>
      <c r="F8" s="199" t="s">
        <v>418</v>
      </c>
      <c r="G8" s="188" t="s">
        <v>421</v>
      </c>
      <c r="H8" s="188" t="s">
        <v>396</v>
      </c>
      <c r="I8" s="225">
        <v>676179</v>
      </c>
      <c r="J8" s="207"/>
      <c r="K8" s="207"/>
      <c r="L8" s="227"/>
      <c r="M8" s="208"/>
      <c r="N8" s="208"/>
      <c r="O8" s="192" t="s">
        <v>425</v>
      </c>
      <c r="P8" s="192"/>
      <c r="Q8" s="192"/>
      <c r="R8" s="192"/>
      <c r="S8" s="192" t="s">
        <v>539</v>
      </c>
      <c r="T8" s="200"/>
      <c r="U8" s="199"/>
      <c r="V8" s="199"/>
      <c r="W8" s="199"/>
      <c r="X8" s="199"/>
      <c r="Y8" s="200"/>
      <c r="Z8" s="202">
        <v>328465664067.65997</v>
      </c>
      <c r="AA8" s="196"/>
      <c r="AB8" s="97"/>
    </row>
    <row r="9" spans="1:28" s="63" customFormat="1" ht="13.8" x14ac:dyDescent="0.3">
      <c r="A9" s="96" t="s">
        <v>357</v>
      </c>
      <c r="B9" s="195" t="s">
        <v>534</v>
      </c>
      <c r="C9" s="195" t="s">
        <v>534</v>
      </c>
      <c r="D9" s="197"/>
      <c r="E9" s="190" t="s">
        <v>411</v>
      </c>
      <c r="F9" s="199" t="s">
        <v>419</v>
      </c>
      <c r="G9" s="188" t="s">
        <v>421</v>
      </c>
      <c r="H9" s="188" t="s">
        <v>396</v>
      </c>
      <c r="I9" s="225">
        <v>676179</v>
      </c>
      <c r="J9" s="207"/>
      <c r="K9" s="207"/>
      <c r="L9" s="227"/>
      <c r="M9" s="208"/>
      <c r="N9" s="208"/>
      <c r="O9" s="192" t="s">
        <v>425</v>
      </c>
      <c r="P9" s="192"/>
      <c r="Q9" s="192"/>
      <c r="R9" s="192"/>
      <c r="S9" s="192" t="s">
        <v>539</v>
      </c>
      <c r="T9" s="200"/>
      <c r="U9" s="199"/>
      <c r="V9" s="199"/>
      <c r="W9" s="199"/>
      <c r="X9" s="199"/>
      <c r="Y9" s="200"/>
      <c r="Z9" s="202">
        <v>328465664067.65997</v>
      </c>
      <c r="AA9" s="196"/>
      <c r="AB9" s="97"/>
    </row>
    <row r="10" spans="1:28" s="63" customFormat="1" ht="13.8" x14ac:dyDescent="0.3">
      <c r="A10" s="96" t="s">
        <v>358</v>
      </c>
      <c r="B10" s="195" t="s">
        <v>535</v>
      </c>
      <c r="C10" s="195" t="s">
        <v>535</v>
      </c>
      <c r="D10" s="197"/>
      <c r="E10" s="198" t="s">
        <v>411</v>
      </c>
      <c r="F10" s="199" t="s">
        <v>418</v>
      </c>
      <c r="G10" s="196" t="s">
        <v>421</v>
      </c>
      <c r="H10" s="196" t="s">
        <v>396</v>
      </c>
      <c r="I10" s="225">
        <v>676179</v>
      </c>
      <c r="J10" s="207"/>
      <c r="K10" s="207"/>
      <c r="L10" s="228">
        <v>0</v>
      </c>
      <c r="M10" s="208"/>
      <c r="N10" s="208"/>
      <c r="O10" s="192" t="s">
        <v>425</v>
      </c>
      <c r="P10" s="192" t="s">
        <v>430</v>
      </c>
      <c r="Q10" s="192"/>
      <c r="R10" s="192"/>
      <c r="S10" s="192"/>
      <c r="T10" s="193" t="s">
        <v>540</v>
      </c>
      <c r="U10" s="199"/>
      <c r="V10" s="199"/>
      <c r="W10" s="199"/>
      <c r="X10" s="199"/>
      <c r="Y10" s="200"/>
      <c r="Z10" s="202">
        <v>328465664067.65997</v>
      </c>
      <c r="AA10" s="196"/>
      <c r="AB10" s="97"/>
    </row>
    <row r="11" spans="1:28" s="63" customFormat="1" ht="13.8" x14ac:dyDescent="0.3">
      <c r="A11" s="96" t="s">
        <v>359</v>
      </c>
      <c r="B11" s="195" t="s">
        <v>536</v>
      </c>
      <c r="C11" s="195" t="s">
        <v>536</v>
      </c>
      <c r="D11" s="197"/>
      <c r="E11" s="198"/>
      <c r="F11" s="199"/>
      <c r="G11" s="196"/>
      <c r="H11" s="196"/>
      <c r="I11" s="207"/>
      <c r="J11" s="207"/>
      <c r="K11" s="207"/>
      <c r="L11" s="208"/>
      <c r="M11" s="208"/>
      <c r="N11" s="208"/>
      <c r="O11" s="192"/>
      <c r="P11" s="192" t="s">
        <v>431</v>
      </c>
      <c r="Q11" s="230">
        <v>190000</v>
      </c>
      <c r="R11" s="192"/>
      <c r="S11" s="192" t="s">
        <v>539</v>
      </c>
      <c r="T11" s="200"/>
      <c r="U11" s="199"/>
      <c r="V11" s="199"/>
      <c r="W11" s="199"/>
      <c r="X11" s="199"/>
      <c r="Y11" s="200"/>
      <c r="Z11" s="202">
        <v>328465664067.65997</v>
      </c>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199"/>
      <c r="V12" s="199"/>
      <c r="W12" s="199"/>
      <c r="X12" s="199"/>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199"/>
      <c r="V13" s="199"/>
      <c r="W13" s="199"/>
      <c r="X13" s="199"/>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199"/>
      <c r="V14" s="199"/>
      <c r="W14" s="199"/>
      <c r="X14" s="199"/>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199"/>
      <c r="V15" s="199"/>
      <c r="W15" s="199"/>
      <c r="X15" s="199"/>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199"/>
      <c r="V16" s="199"/>
      <c r="W16" s="199"/>
      <c r="X16" s="199"/>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199"/>
      <c r="V17" s="199"/>
      <c r="W17" s="199"/>
      <c r="X17" s="199"/>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199"/>
      <c r="V18" s="199"/>
      <c r="W18" s="199"/>
      <c r="X18" s="199"/>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199"/>
      <c r="V19" s="199"/>
      <c r="W19" s="199"/>
      <c r="X19" s="199"/>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9" type="noConversion"/>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T5:T19 I5:K19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tabSelected="1" workbookViewId="0">
      <pane xSplit="2" ySplit="4" topLeftCell="C5" activePane="bottomRight" state="frozen"/>
      <selection pane="topRight" activeCell="C1" sqref="C1"/>
      <selection pane="bottomLeft" activeCell="A5" sqref="A5"/>
      <selection pane="bottomRight" activeCell="J18" sqref="J18"/>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Action sanitaire et sociale</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5</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6</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7</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8</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9</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10</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11</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12</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13</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14</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15</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16</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17</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18</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19</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20</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21</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22</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23</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24</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25</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26</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27</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28</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29</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30</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31</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32</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33</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34</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35</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36</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37</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38</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39</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40</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defaultColWidth="0" defaultRowHeight="13.8" zeroHeight="1" x14ac:dyDescent="0.3"/>
  <cols>
    <col min="1" max="1" width="29" style="130" customWidth="1"/>
    <col min="2" max="2" width="14.33203125" style="99" customWidth="1"/>
    <col min="3" max="3" width="15" style="99" customWidth="1"/>
    <col min="4" max="4" width="14.33203125" style="99" customWidth="1"/>
    <col min="5" max="5" width="15.33203125" style="99" customWidth="1"/>
    <col min="6" max="6" width="14.33203125" style="99" customWidth="1"/>
    <col min="7" max="7" width="15.109375" style="99" customWidth="1"/>
    <col min="8" max="8" width="2.6640625" style="98" customWidth="1"/>
    <col min="9" max="17" width="0" style="99" hidden="1" customWidth="1"/>
    <col min="18" max="16384" width="9.109375" style="99" hidden="1"/>
  </cols>
  <sheetData>
    <row r="1" spans="1:7" ht="16.5" customHeight="1" thickBot="1" x14ac:dyDescent="0.35">
      <c r="A1" s="136" t="s">
        <v>348</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48" t="s">
        <v>368</v>
      </c>
      <c r="B4" s="248"/>
      <c r="C4" s="248"/>
      <c r="D4" s="248"/>
      <c r="E4" s="248"/>
      <c r="F4" s="248"/>
      <c r="G4" s="248"/>
    </row>
    <row r="5" spans="1:7" ht="15" customHeight="1" x14ac:dyDescent="0.3">
      <c r="A5" s="125"/>
      <c r="B5" s="249" t="s">
        <v>374</v>
      </c>
      <c r="C5" s="250"/>
      <c r="D5" s="249" t="s">
        <v>375</v>
      </c>
      <c r="E5" s="250"/>
      <c r="F5" s="249" t="s">
        <v>376</v>
      </c>
      <c r="G5" s="250"/>
    </row>
    <row r="6" spans="1:7" ht="27.6" x14ac:dyDescent="0.3">
      <c r="A6" s="126"/>
      <c r="B6" s="105" t="s">
        <v>377</v>
      </c>
      <c r="C6" s="106" t="s">
        <v>378</v>
      </c>
      <c r="D6" s="105" t="s">
        <v>377</v>
      </c>
      <c r="E6" s="106" t="s">
        <v>379</v>
      </c>
      <c r="F6" s="105" t="s">
        <v>377</v>
      </c>
      <c r="G6" s="106" t="s">
        <v>380</v>
      </c>
    </row>
    <row r="7" spans="1:7" x14ac:dyDescent="0.3">
      <c r="A7" s="165" t="s">
        <v>369</v>
      </c>
      <c r="B7" s="210"/>
      <c r="C7" s="210"/>
      <c r="D7" s="210"/>
      <c r="E7" s="210"/>
      <c r="F7" s="210"/>
      <c r="G7" s="210"/>
    </row>
    <row r="8" spans="1:7" x14ac:dyDescent="0.3">
      <c r="A8" s="166" t="s">
        <v>370</v>
      </c>
      <c r="B8" s="210"/>
      <c r="C8" s="210"/>
      <c r="D8" s="210"/>
      <c r="E8" s="210"/>
      <c r="F8" s="210"/>
      <c r="G8" s="210"/>
    </row>
    <row r="9" spans="1:7" x14ac:dyDescent="0.3">
      <c r="A9" s="167" t="s">
        <v>371</v>
      </c>
      <c r="B9" s="210"/>
      <c r="C9" s="210"/>
      <c r="D9" s="210"/>
      <c r="E9" s="210"/>
      <c r="F9" s="210"/>
      <c r="G9" s="210"/>
    </row>
    <row r="10" spans="1:7" x14ac:dyDescent="0.3">
      <c r="A10" s="167" t="s">
        <v>372</v>
      </c>
      <c r="B10" s="210"/>
      <c r="C10" s="210"/>
      <c r="D10" s="210"/>
      <c r="E10" s="210"/>
      <c r="F10" s="210"/>
      <c r="G10" s="210"/>
    </row>
    <row r="11" spans="1:7" x14ac:dyDescent="0.3">
      <c r="A11" s="165" t="s">
        <v>373</v>
      </c>
      <c r="B11" s="211"/>
      <c r="C11" s="211"/>
      <c r="D11" s="211"/>
      <c r="E11" s="211"/>
      <c r="F11" s="211"/>
      <c r="G11" s="211"/>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381</v>
      </c>
      <c r="B14" s="98"/>
      <c r="C14" s="98"/>
      <c r="D14" s="98"/>
      <c r="E14" s="98"/>
      <c r="F14" s="98"/>
      <c r="G14" s="98"/>
    </row>
    <row r="15" spans="1:7" x14ac:dyDescent="0.3">
      <c r="A15" s="124"/>
      <c r="B15" s="98"/>
      <c r="C15" s="98"/>
      <c r="D15" s="98"/>
      <c r="E15" s="98"/>
      <c r="F15" s="98"/>
      <c r="G15" s="98"/>
    </row>
    <row r="16" spans="1:7" ht="41.4" x14ac:dyDescent="0.3">
      <c r="A16" s="128"/>
      <c r="B16" s="107" t="s">
        <v>382</v>
      </c>
      <c r="C16" s="107" t="s">
        <v>383</v>
      </c>
      <c r="D16" s="107" t="s">
        <v>384</v>
      </c>
      <c r="E16" s="107" t="s">
        <v>385</v>
      </c>
      <c r="F16" s="98"/>
      <c r="G16" s="98"/>
    </row>
    <row r="17" spans="1:17" x14ac:dyDescent="0.3">
      <c r="A17" s="168" t="s">
        <v>386</v>
      </c>
      <c r="B17" s="108"/>
      <c r="C17" s="108"/>
      <c r="D17" s="108"/>
      <c r="E17" s="108"/>
      <c r="F17" s="98"/>
      <c r="G17" s="98"/>
    </row>
    <row r="18" spans="1:17" x14ac:dyDescent="0.3">
      <c r="A18" s="168" t="s">
        <v>387</v>
      </c>
      <c r="B18" s="108"/>
      <c r="C18" s="108"/>
      <c r="D18" s="108"/>
      <c r="E18" s="108"/>
      <c r="F18" s="98"/>
      <c r="G18" s="98"/>
    </row>
    <row r="19" spans="1:17" x14ac:dyDescent="0.3">
      <c r="A19" s="168" t="s">
        <v>388</v>
      </c>
      <c r="B19" s="108"/>
      <c r="C19" s="108"/>
      <c r="D19" s="108"/>
      <c r="E19" s="108"/>
      <c r="F19" s="98"/>
      <c r="G19" s="98"/>
    </row>
    <row r="20" spans="1:17" x14ac:dyDescent="0.3">
      <c r="A20" s="168" t="s">
        <v>389</v>
      </c>
      <c r="B20" s="108"/>
      <c r="C20" s="108"/>
      <c r="D20" s="108"/>
      <c r="E20" s="108"/>
      <c r="F20" s="98"/>
      <c r="G20" s="98"/>
    </row>
    <row r="21" spans="1:17" x14ac:dyDescent="0.3">
      <c r="A21" s="169" t="s">
        <v>390</v>
      </c>
      <c r="B21" s="108"/>
      <c r="C21" s="108"/>
      <c r="D21" s="108"/>
      <c r="E21" s="108"/>
      <c r="F21" s="98"/>
      <c r="G21" s="98"/>
    </row>
    <row r="22" spans="1:17" x14ac:dyDescent="0.3">
      <c r="A22" s="169" t="s">
        <v>391</v>
      </c>
      <c r="B22" s="108"/>
      <c r="C22" s="108"/>
      <c r="D22" s="108"/>
      <c r="E22" s="108"/>
      <c r="F22" s="98"/>
      <c r="G22" s="98"/>
    </row>
    <row r="23" spans="1:17" x14ac:dyDescent="0.3">
      <c r="A23" s="169" t="s">
        <v>392</v>
      </c>
      <c r="B23" s="108"/>
      <c r="C23" s="108"/>
      <c r="D23" s="108"/>
      <c r="E23" s="108"/>
      <c r="F23" s="98"/>
      <c r="G23" s="98"/>
    </row>
    <row r="24" spans="1:17" x14ac:dyDescent="0.3">
      <c r="A24" s="169" t="s">
        <v>393</v>
      </c>
      <c r="B24" s="108"/>
      <c r="C24" s="108"/>
      <c r="D24" s="108"/>
      <c r="E24" s="108"/>
      <c r="F24" s="98"/>
      <c r="G24" s="98"/>
    </row>
    <row r="25" spans="1:17" x14ac:dyDescent="0.3">
      <c r="A25" s="169" t="s">
        <v>394</v>
      </c>
      <c r="B25" s="108"/>
      <c r="C25" s="108"/>
      <c r="D25" s="108"/>
      <c r="E25" s="108"/>
      <c r="F25" s="98"/>
      <c r="G25" s="98"/>
    </row>
    <row r="26" spans="1:17" x14ac:dyDescent="0.3">
      <c r="A26" s="168" t="s">
        <v>395</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51"/>
      <c r="C28" s="251"/>
      <c r="D28" s="88" t="s">
        <v>17</v>
      </c>
      <c r="E28" s="251"/>
      <c r="F28" s="251"/>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05B837B4-FDDA-47B8-9D6D-B0632FFD6D77}">
      <selection activeCell="A31" sqref="A31:L32"/>
      <pageMargins left="0.7" right="0.7" top="0.75" bottom="0.75" header="0.3" footer="0.3"/>
      <pageSetup paperSize="9" orientation="portrait" verticalDpi="0" r:id="rId1"/>
    </customSheetView>
    <customSheetView guid="{43331C61-E5DE-4680-8381-52BB1541163B}">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6640625" style="86" bestFit="1" customWidth="1"/>
    <col min="9" max="17" width="11" style="86" customWidth="1"/>
    <col min="18" max="18" width="12.33203125" style="86" customWidth="1"/>
    <col min="19" max="16384" width="12.33203125" style="86" hidden="1"/>
  </cols>
  <sheetData>
    <row r="1" spans="1:17" ht="37.5" customHeight="1" x14ac:dyDescent="0.3">
      <c r="A1" s="85" t="s">
        <v>192</v>
      </c>
      <c r="B1" s="85" t="s">
        <v>180</v>
      </c>
      <c r="C1" s="85" t="s">
        <v>181</v>
      </c>
      <c r="D1" s="85" t="s">
        <v>182</v>
      </c>
      <c r="E1" s="85" t="s">
        <v>183</v>
      </c>
      <c r="F1" s="85" t="s">
        <v>184</v>
      </c>
      <c r="G1" s="85" t="s">
        <v>185</v>
      </c>
      <c r="H1" s="85" t="s">
        <v>186</v>
      </c>
      <c r="I1" s="85" t="s">
        <v>187</v>
      </c>
      <c r="J1" s="85" t="s">
        <v>188</v>
      </c>
      <c r="K1" s="85" t="s">
        <v>191</v>
      </c>
      <c r="L1" s="85" t="s">
        <v>190</v>
      </c>
      <c r="M1" s="85" t="s">
        <v>189</v>
      </c>
      <c r="N1" s="85" t="s">
        <v>193</v>
      </c>
      <c r="O1" s="85" t="s">
        <v>194</v>
      </c>
      <c r="P1" s="111" t="s">
        <v>195</v>
      </c>
      <c r="Q1" s="112" t="s">
        <v>195</v>
      </c>
    </row>
    <row r="2" spans="1:17" ht="37.5" customHeight="1" x14ac:dyDescent="0.3">
      <c r="A2" s="86" t="s">
        <v>396</v>
      </c>
      <c r="B2" s="87" t="s">
        <v>216</v>
      </c>
      <c r="C2" s="86" t="s">
        <v>374</v>
      </c>
      <c r="D2" s="86" t="s">
        <v>221</v>
      </c>
      <c r="E2" s="86" t="s">
        <v>1</v>
      </c>
      <c r="F2" s="86" t="s">
        <v>422</v>
      </c>
      <c r="G2" s="86" t="s">
        <v>425</v>
      </c>
      <c r="H2" s="86" t="s">
        <v>427</v>
      </c>
      <c r="I2" s="79" t="s">
        <v>430</v>
      </c>
      <c r="J2" s="86" t="s">
        <v>434</v>
      </c>
      <c r="K2" s="79" t="s">
        <v>432</v>
      </c>
      <c r="L2" s="86" t="s">
        <v>436</v>
      </c>
      <c r="M2" s="79" t="s">
        <v>441</v>
      </c>
      <c r="N2" s="79" t="s">
        <v>10</v>
      </c>
      <c r="O2" s="79" t="s">
        <v>442</v>
      </c>
      <c r="P2" s="109" t="s">
        <v>196</v>
      </c>
      <c r="Q2" s="110" t="s">
        <v>196</v>
      </c>
    </row>
    <row r="3" spans="1:17" ht="37.5" customHeight="1" x14ac:dyDescent="0.3">
      <c r="A3" s="86" t="s">
        <v>397</v>
      </c>
      <c r="B3" s="87" t="s">
        <v>399</v>
      </c>
      <c r="C3" s="86" t="s">
        <v>406</v>
      </c>
      <c r="D3" s="86" t="s">
        <v>417</v>
      </c>
      <c r="E3" s="86" t="s">
        <v>420</v>
      </c>
      <c r="F3" s="86" t="s">
        <v>423</v>
      </c>
      <c r="G3" s="86" t="s">
        <v>426</v>
      </c>
      <c r="H3" s="86" t="s">
        <v>428</v>
      </c>
      <c r="I3" s="79" t="s">
        <v>431</v>
      </c>
      <c r="J3" s="86" t="s">
        <v>435</v>
      </c>
      <c r="K3" s="79" t="s">
        <v>433</v>
      </c>
      <c r="L3" s="86" t="s">
        <v>437</v>
      </c>
      <c r="M3" s="79" t="s">
        <v>439</v>
      </c>
      <c r="N3" s="79"/>
      <c r="O3" s="86" t="s">
        <v>443</v>
      </c>
      <c r="P3" s="109" t="s">
        <v>453</v>
      </c>
      <c r="Q3" s="110" t="s">
        <v>453</v>
      </c>
    </row>
    <row r="4" spans="1:17" ht="37.5" customHeight="1" x14ac:dyDescent="0.3">
      <c r="A4" s="86" t="s">
        <v>398</v>
      </c>
      <c r="B4" s="87" t="s">
        <v>400</v>
      </c>
      <c r="C4" s="86" t="s">
        <v>407</v>
      </c>
      <c r="D4" s="86" t="s">
        <v>418</v>
      </c>
      <c r="E4" s="86" t="s">
        <v>421</v>
      </c>
      <c r="F4" s="86" t="s">
        <v>424</v>
      </c>
      <c r="G4" s="79"/>
      <c r="H4" s="86" t="s">
        <v>429</v>
      </c>
      <c r="I4" s="79"/>
      <c r="J4" s="79"/>
      <c r="K4" s="79"/>
      <c r="L4" s="86" t="s">
        <v>438</v>
      </c>
      <c r="M4" s="79" t="s">
        <v>9</v>
      </c>
      <c r="N4" s="79"/>
      <c r="O4" s="79" t="s">
        <v>444</v>
      </c>
      <c r="P4" s="109" t="s">
        <v>246</v>
      </c>
      <c r="Q4" s="110" t="s">
        <v>246</v>
      </c>
    </row>
    <row r="5" spans="1:17" ht="37.5" customHeight="1" x14ac:dyDescent="0.3">
      <c r="A5" s="79"/>
      <c r="B5" s="87" t="s">
        <v>401</v>
      </c>
      <c r="C5" s="86" t="s">
        <v>408</v>
      </c>
      <c r="D5" s="86" t="s">
        <v>419</v>
      </c>
      <c r="E5" s="79"/>
      <c r="F5" s="79"/>
      <c r="G5" s="79"/>
      <c r="H5" s="79"/>
      <c r="I5" s="79"/>
      <c r="J5" s="79"/>
      <c r="K5" s="79"/>
      <c r="L5" s="79"/>
      <c r="M5" s="79" t="s">
        <v>440</v>
      </c>
      <c r="N5" s="79"/>
      <c r="O5" s="86" t="s">
        <v>445</v>
      </c>
      <c r="P5" s="109" t="s">
        <v>247</v>
      </c>
      <c r="Q5" s="110" t="s">
        <v>247</v>
      </c>
    </row>
    <row r="6" spans="1:17" ht="37.5" customHeight="1" x14ac:dyDescent="0.3">
      <c r="A6" s="79"/>
      <c r="B6" s="87" t="s">
        <v>402</v>
      </c>
      <c r="C6" s="86" t="s">
        <v>409</v>
      </c>
      <c r="D6" s="79"/>
      <c r="E6" s="79"/>
      <c r="F6" s="79"/>
      <c r="G6" s="79"/>
      <c r="H6" s="79"/>
      <c r="I6" s="79"/>
      <c r="J6" s="79"/>
      <c r="K6" s="79"/>
      <c r="L6" s="79"/>
      <c r="M6" s="79"/>
      <c r="N6" s="79"/>
      <c r="O6" s="86" t="s">
        <v>446</v>
      </c>
      <c r="P6" s="109" t="s">
        <v>248</v>
      </c>
      <c r="Q6" s="110" t="s">
        <v>248</v>
      </c>
    </row>
    <row r="7" spans="1:17" ht="37.5" customHeight="1" x14ac:dyDescent="0.3">
      <c r="A7" s="79"/>
      <c r="B7" s="87" t="s">
        <v>225</v>
      </c>
      <c r="C7" s="86" t="s">
        <v>410</v>
      </c>
      <c r="D7" s="79"/>
      <c r="E7" s="79"/>
      <c r="F7" s="53"/>
      <c r="I7" s="79"/>
      <c r="J7" s="79"/>
      <c r="K7" s="79"/>
      <c r="L7" s="79"/>
      <c r="M7" s="79"/>
      <c r="N7" s="79"/>
      <c r="O7" s="86" t="s">
        <v>447</v>
      </c>
      <c r="P7" s="109" t="s">
        <v>249</v>
      </c>
      <c r="Q7" s="110" t="s">
        <v>249</v>
      </c>
    </row>
    <row r="8" spans="1:17" ht="37.5" customHeight="1" x14ac:dyDescent="0.3">
      <c r="A8" s="79"/>
      <c r="B8" s="87" t="s">
        <v>224</v>
      </c>
      <c r="C8" s="86" t="s">
        <v>411</v>
      </c>
      <c r="D8" s="79"/>
      <c r="E8" s="79"/>
      <c r="F8" s="53"/>
      <c r="I8" s="79"/>
      <c r="J8" s="79"/>
      <c r="K8" s="79"/>
      <c r="L8" s="79"/>
      <c r="M8" s="79"/>
      <c r="N8" s="79"/>
      <c r="O8" s="86" t="s">
        <v>448</v>
      </c>
      <c r="P8" s="109" t="s">
        <v>250</v>
      </c>
      <c r="Q8" s="110" t="s">
        <v>250</v>
      </c>
    </row>
    <row r="9" spans="1:17" ht="37.5" customHeight="1" x14ac:dyDescent="0.3">
      <c r="A9" s="79"/>
      <c r="B9" s="87" t="s">
        <v>221</v>
      </c>
      <c r="C9" s="86" t="s">
        <v>412</v>
      </c>
      <c r="D9" s="79"/>
      <c r="E9" s="79"/>
      <c r="F9" s="53"/>
      <c r="I9" s="79"/>
      <c r="J9" s="79"/>
      <c r="K9" s="79"/>
      <c r="L9" s="79"/>
      <c r="M9" s="79"/>
      <c r="N9" s="79"/>
      <c r="O9" s="86" t="s">
        <v>449</v>
      </c>
      <c r="P9" s="109" t="s">
        <v>251</v>
      </c>
      <c r="Q9" s="110" t="s">
        <v>251</v>
      </c>
    </row>
    <row r="10" spans="1:17" ht="37.5" customHeight="1" x14ac:dyDescent="0.3">
      <c r="A10" s="79"/>
      <c r="B10" s="87" t="s">
        <v>222</v>
      </c>
      <c r="C10" s="86" t="s">
        <v>413</v>
      </c>
      <c r="D10" s="79"/>
      <c r="E10" s="79"/>
      <c r="F10" s="53"/>
      <c r="I10" s="79"/>
      <c r="J10" s="79"/>
      <c r="K10" s="79"/>
      <c r="L10" s="79"/>
      <c r="M10" s="79"/>
      <c r="N10" s="79"/>
      <c r="O10" s="86" t="s">
        <v>450</v>
      </c>
      <c r="P10" s="109" t="s">
        <v>252</v>
      </c>
      <c r="Q10" s="110" t="s">
        <v>252</v>
      </c>
    </row>
    <row r="11" spans="1:17" ht="37.5" customHeight="1" x14ac:dyDescent="0.3">
      <c r="A11" s="79"/>
      <c r="B11" s="87" t="s">
        <v>403</v>
      </c>
      <c r="C11" s="86" t="s">
        <v>416</v>
      </c>
      <c r="D11" s="79"/>
      <c r="E11" s="79"/>
      <c r="F11" s="53"/>
      <c r="I11" s="79"/>
      <c r="J11" s="79"/>
      <c r="K11" s="79"/>
      <c r="L11" s="79"/>
      <c r="M11" s="79"/>
      <c r="N11" s="79"/>
      <c r="O11" s="86" t="s">
        <v>451</v>
      </c>
      <c r="P11" s="109" t="s">
        <v>253</v>
      </c>
      <c r="Q11" s="110" t="s">
        <v>253</v>
      </c>
    </row>
    <row r="12" spans="1:17" ht="37.5" customHeight="1" x14ac:dyDescent="0.3">
      <c r="A12" s="79"/>
      <c r="B12" s="87" t="s">
        <v>404</v>
      </c>
      <c r="C12" s="86" t="s">
        <v>414</v>
      </c>
      <c r="D12" s="79"/>
      <c r="E12" s="79"/>
      <c r="F12" s="53"/>
      <c r="I12" s="79"/>
      <c r="J12" s="79"/>
      <c r="K12" s="79"/>
      <c r="L12" s="79"/>
      <c r="M12" s="79"/>
      <c r="N12" s="79"/>
      <c r="O12" s="86" t="s">
        <v>452</v>
      </c>
      <c r="P12" s="109" t="s">
        <v>254</v>
      </c>
      <c r="Q12" s="110" t="s">
        <v>254</v>
      </c>
    </row>
    <row r="13" spans="1:17" ht="37.5" customHeight="1" x14ac:dyDescent="0.3">
      <c r="B13" s="87" t="s">
        <v>405</v>
      </c>
      <c r="C13" s="86" t="s">
        <v>415</v>
      </c>
      <c r="F13" s="53"/>
      <c r="L13" s="87"/>
      <c r="P13" s="109" t="s">
        <v>255</v>
      </c>
      <c r="Q13" s="110" t="s">
        <v>255</v>
      </c>
    </row>
    <row r="14" spans="1:17" ht="33.75" customHeight="1" x14ac:dyDescent="0.3">
      <c r="B14" s="87"/>
      <c r="F14" s="53"/>
      <c r="M14" s="87"/>
      <c r="P14" s="109" t="s">
        <v>256</v>
      </c>
      <c r="Q14" s="110" t="s">
        <v>256</v>
      </c>
    </row>
    <row r="15" spans="1:17" x14ac:dyDescent="0.3">
      <c r="B15" s="87"/>
      <c r="M15" s="87"/>
      <c r="P15" s="109" t="s">
        <v>257</v>
      </c>
      <c r="Q15" s="110" t="s">
        <v>257</v>
      </c>
    </row>
    <row r="16" spans="1:17" ht="20.399999999999999" x14ac:dyDescent="0.3">
      <c r="A16" s="131"/>
      <c r="B16" s="132"/>
      <c r="C16" s="133"/>
      <c r="D16" s="134"/>
      <c r="E16" s="120"/>
      <c r="F16" s="121"/>
      <c r="G16" s="120"/>
      <c r="H16" s="120"/>
      <c r="M16" s="87"/>
      <c r="P16" s="109" t="s">
        <v>258</v>
      </c>
      <c r="Q16" s="110" t="s">
        <v>258</v>
      </c>
    </row>
    <row r="17" spans="1:17" ht="20.399999999999999" x14ac:dyDescent="0.3">
      <c r="A17" s="131"/>
      <c r="B17" s="135"/>
      <c r="C17" s="133"/>
      <c r="D17" s="134"/>
      <c r="E17" s="120"/>
      <c r="F17" s="121"/>
      <c r="G17" s="120"/>
      <c r="H17" s="120"/>
      <c r="M17" s="87"/>
      <c r="P17" s="109" t="s">
        <v>259</v>
      </c>
      <c r="Q17" s="110" t="s">
        <v>259</v>
      </c>
    </row>
    <row r="18" spans="1:17" ht="20.399999999999999" x14ac:dyDescent="0.3">
      <c r="A18" s="131"/>
      <c r="B18" s="135"/>
      <c r="C18" s="135"/>
      <c r="D18" s="134"/>
      <c r="E18" s="120"/>
      <c r="F18" s="122"/>
      <c r="G18" s="120"/>
      <c r="H18" s="120"/>
      <c r="M18" s="87"/>
      <c r="P18" s="109" t="s">
        <v>260</v>
      </c>
      <c r="Q18" s="110" t="s">
        <v>260</v>
      </c>
    </row>
    <row r="19" spans="1:17" ht="20.399999999999999" x14ac:dyDescent="0.3">
      <c r="A19" s="131"/>
      <c r="B19" s="135"/>
      <c r="C19" s="135"/>
      <c r="D19" s="134"/>
      <c r="E19" s="120"/>
      <c r="F19" s="122"/>
      <c r="G19" s="120"/>
      <c r="H19" s="120"/>
      <c r="M19" s="87"/>
      <c r="P19" s="109" t="s">
        <v>261</v>
      </c>
      <c r="Q19" s="110" t="s">
        <v>261</v>
      </c>
    </row>
    <row r="20" spans="1:17" ht="20.399999999999999" x14ac:dyDescent="0.3">
      <c r="A20" s="131"/>
      <c r="B20" s="135"/>
      <c r="C20" s="135"/>
      <c r="D20" s="134"/>
      <c r="E20" s="120"/>
      <c r="F20" s="122"/>
      <c r="G20" s="120"/>
      <c r="H20" s="120"/>
      <c r="M20" s="87"/>
      <c r="P20" s="109" t="s">
        <v>262</v>
      </c>
      <c r="Q20" s="110" t="s">
        <v>262</v>
      </c>
    </row>
    <row r="21" spans="1:17" ht="20.399999999999999" x14ac:dyDescent="0.3">
      <c r="A21" s="131"/>
      <c r="B21" s="135"/>
      <c r="C21" s="133"/>
      <c r="D21" s="134"/>
      <c r="E21" s="120"/>
      <c r="F21" s="121"/>
      <c r="G21" s="120"/>
      <c r="H21" s="120"/>
      <c r="M21" s="87"/>
      <c r="P21" s="109" t="s">
        <v>263</v>
      </c>
      <c r="Q21" s="110" t="s">
        <v>263</v>
      </c>
    </row>
    <row r="22" spans="1:17" ht="20.399999999999999" x14ac:dyDescent="0.3">
      <c r="A22" s="137"/>
      <c r="B22" s="135"/>
      <c r="M22" s="87"/>
      <c r="P22" s="109" t="s">
        <v>264</v>
      </c>
      <c r="Q22" s="110" t="s">
        <v>264</v>
      </c>
    </row>
    <row r="23" spans="1:17" ht="20.399999999999999" x14ac:dyDescent="0.3">
      <c r="A23" s="137"/>
      <c r="B23" s="135"/>
      <c r="M23" s="87"/>
      <c r="P23" s="109" t="s">
        <v>265</v>
      </c>
      <c r="Q23" s="110" t="s">
        <v>265</v>
      </c>
    </row>
    <row r="24" spans="1:17" x14ac:dyDescent="0.3">
      <c r="M24" s="87"/>
      <c r="P24" s="109" t="s">
        <v>266</v>
      </c>
      <c r="Q24" s="110" t="s">
        <v>266</v>
      </c>
    </row>
    <row r="25" spans="1:17" ht="20.399999999999999" x14ac:dyDescent="0.3">
      <c r="A25" s="131"/>
      <c r="B25" s="135"/>
      <c r="C25" s="133"/>
      <c r="D25" s="134"/>
      <c r="E25" s="120"/>
      <c r="F25" s="121"/>
      <c r="G25" s="120"/>
      <c r="H25" s="120"/>
      <c r="M25" s="79"/>
      <c r="P25" s="109" t="s">
        <v>267</v>
      </c>
      <c r="Q25" s="110" t="s">
        <v>267</v>
      </c>
    </row>
    <row r="26" spans="1:17" ht="20.399999999999999" x14ac:dyDescent="0.3">
      <c r="A26" s="131"/>
      <c r="B26" s="135"/>
      <c r="C26" s="133"/>
      <c r="D26" s="134"/>
      <c r="E26" s="120"/>
      <c r="F26" s="121"/>
      <c r="G26" s="120"/>
      <c r="H26" s="120"/>
      <c r="M26" s="79"/>
      <c r="P26" s="109" t="s">
        <v>268</v>
      </c>
      <c r="Q26" s="110" t="s">
        <v>268</v>
      </c>
    </row>
    <row r="27" spans="1:17" ht="20.399999999999999" x14ac:dyDescent="0.3">
      <c r="A27" s="131"/>
      <c r="B27" s="135"/>
      <c r="C27" s="133"/>
      <c r="D27" s="134"/>
      <c r="E27" s="120"/>
      <c r="F27" s="121"/>
      <c r="G27" s="120"/>
      <c r="H27" s="120"/>
      <c r="M27" s="79"/>
      <c r="P27" s="109" t="s">
        <v>269</v>
      </c>
      <c r="Q27" s="110" t="s">
        <v>269</v>
      </c>
    </row>
    <row r="28" spans="1:17" ht="20.399999999999999" x14ac:dyDescent="0.3">
      <c r="A28" s="131"/>
      <c r="B28" s="135"/>
      <c r="C28" s="135"/>
      <c r="D28" s="134"/>
      <c r="E28" s="120"/>
      <c r="F28" s="121"/>
      <c r="G28" s="120"/>
      <c r="H28" s="120"/>
      <c r="M28" s="79"/>
      <c r="P28" s="109" t="s">
        <v>270</v>
      </c>
      <c r="Q28" s="110" t="s">
        <v>270</v>
      </c>
    </row>
    <row r="29" spans="1:17" ht="20.399999999999999" x14ac:dyDescent="0.3">
      <c r="A29" s="131"/>
      <c r="B29" s="133"/>
      <c r="C29" s="135"/>
      <c r="D29" s="134"/>
      <c r="E29" s="120"/>
      <c r="F29" s="121"/>
      <c r="G29" s="120"/>
      <c r="H29" s="120"/>
      <c r="M29" s="79"/>
      <c r="P29" s="109" t="s">
        <v>271</v>
      </c>
      <c r="Q29" s="110" t="s">
        <v>271</v>
      </c>
    </row>
    <row r="30" spans="1:17" ht="20.399999999999999" x14ac:dyDescent="0.3">
      <c r="A30" s="131"/>
      <c r="B30" s="133"/>
      <c r="C30" s="135"/>
      <c r="D30" s="134"/>
      <c r="E30" s="120"/>
      <c r="F30" s="123"/>
      <c r="G30" s="58"/>
      <c r="H30" s="120"/>
      <c r="M30" s="79"/>
      <c r="P30" s="109" t="s">
        <v>272</v>
      </c>
      <c r="Q30" s="110" t="s">
        <v>272</v>
      </c>
    </row>
    <row r="31" spans="1:17" ht="20.399999999999999" x14ac:dyDescent="0.3">
      <c r="A31" s="131"/>
      <c r="B31" s="135"/>
      <c r="C31" s="135"/>
      <c r="D31" s="134"/>
      <c r="E31" s="120"/>
      <c r="F31" s="123"/>
      <c r="G31" s="58"/>
      <c r="H31" s="120"/>
      <c r="M31" s="79"/>
      <c r="P31" s="109" t="s">
        <v>273</v>
      </c>
      <c r="Q31" s="110" t="s">
        <v>273</v>
      </c>
    </row>
    <row r="32" spans="1:17" ht="20.399999999999999" x14ac:dyDescent="0.3">
      <c r="A32" s="131"/>
      <c r="B32" s="135"/>
      <c r="C32" s="135"/>
      <c r="D32" s="134"/>
      <c r="E32" s="120"/>
      <c r="F32" s="123"/>
      <c r="H32" s="120"/>
      <c r="M32" s="79"/>
      <c r="P32" s="109" t="s">
        <v>274</v>
      </c>
      <c r="Q32" s="110" t="s">
        <v>274</v>
      </c>
    </row>
    <row r="33" spans="1:17" ht="20.399999999999999" x14ac:dyDescent="0.3">
      <c r="A33" s="134"/>
      <c r="B33" s="135"/>
      <c r="C33" s="135"/>
      <c r="D33" s="134"/>
      <c r="E33" s="120"/>
      <c r="F33" s="123"/>
      <c r="H33" s="120"/>
      <c r="M33" s="79"/>
      <c r="P33" s="109" t="s">
        <v>275</v>
      </c>
      <c r="Q33" s="110" t="s">
        <v>275</v>
      </c>
    </row>
    <row r="34" spans="1:17" ht="13.8" x14ac:dyDescent="0.3">
      <c r="A34" s="120"/>
      <c r="B34" s="120"/>
      <c r="C34" s="120"/>
      <c r="D34" s="120"/>
      <c r="E34" s="120"/>
      <c r="F34" s="121"/>
      <c r="G34" s="120"/>
      <c r="H34" s="120"/>
      <c r="M34" s="79"/>
      <c r="P34" s="109" t="s">
        <v>276</v>
      </c>
      <c r="Q34" s="110" t="s">
        <v>276</v>
      </c>
    </row>
    <row r="35" spans="1:17" ht="13.8" x14ac:dyDescent="0.3">
      <c r="A35" s="120"/>
      <c r="B35" s="120"/>
      <c r="C35" s="120"/>
      <c r="D35" s="120"/>
      <c r="E35" s="120"/>
      <c r="F35" s="121"/>
      <c r="G35" s="120"/>
      <c r="H35" s="120"/>
      <c r="P35" s="109" t="s">
        <v>277</v>
      </c>
      <c r="Q35" s="110" t="s">
        <v>277</v>
      </c>
    </row>
    <row r="36" spans="1:17" ht="13.8" x14ac:dyDescent="0.3">
      <c r="A36" s="120"/>
      <c r="B36" s="120"/>
      <c r="C36" s="120"/>
      <c r="D36" s="120"/>
      <c r="E36" s="120"/>
      <c r="F36" s="121"/>
      <c r="G36" s="120"/>
      <c r="H36" s="120"/>
      <c r="P36" s="109" t="s">
        <v>278</v>
      </c>
      <c r="Q36" s="110" t="s">
        <v>278</v>
      </c>
    </row>
    <row r="37" spans="1:17" ht="13.8" x14ac:dyDescent="0.3">
      <c r="A37" s="120"/>
      <c r="B37" s="120"/>
      <c r="C37" s="120"/>
      <c r="D37" s="120"/>
      <c r="E37" s="120"/>
      <c r="F37" s="121"/>
      <c r="G37" s="120"/>
      <c r="H37" s="120"/>
      <c r="P37" s="109" t="s">
        <v>279</v>
      </c>
      <c r="Q37" s="110" t="s">
        <v>279</v>
      </c>
    </row>
    <row r="38" spans="1:17" ht="13.8" x14ac:dyDescent="0.3">
      <c r="A38" s="120"/>
      <c r="B38" s="120"/>
      <c r="C38" s="120"/>
      <c r="D38" s="120"/>
      <c r="E38" s="120"/>
      <c r="F38" s="121"/>
      <c r="G38" s="120"/>
      <c r="H38" s="120"/>
      <c r="P38" s="109" t="s">
        <v>280</v>
      </c>
      <c r="Q38" s="110" t="s">
        <v>280</v>
      </c>
    </row>
    <row r="39" spans="1:17" ht="13.8" x14ac:dyDescent="0.3">
      <c r="A39" s="120"/>
      <c r="B39" s="120"/>
      <c r="C39" s="120"/>
      <c r="D39" s="120"/>
      <c r="E39" s="120"/>
      <c r="F39" s="121"/>
      <c r="G39" s="120"/>
      <c r="H39" s="120"/>
      <c r="P39" s="109" t="s">
        <v>281</v>
      </c>
      <c r="Q39" s="110" t="s">
        <v>281</v>
      </c>
    </row>
    <row r="40" spans="1:17" ht="13.8" x14ac:dyDescent="0.3">
      <c r="A40" s="120"/>
      <c r="B40" s="120"/>
      <c r="C40" s="120"/>
      <c r="D40" s="120"/>
      <c r="E40" s="120"/>
      <c r="F40" s="121"/>
      <c r="G40" s="120"/>
      <c r="H40" s="120"/>
      <c r="P40" s="109" t="s">
        <v>282</v>
      </c>
      <c r="Q40" s="110" t="s">
        <v>282</v>
      </c>
    </row>
    <row r="41" spans="1:17" ht="13.8" x14ac:dyDescent="0.3">
      <c r="A41" s="120"/>
      <c r="B41" s="120"/>
      <c r="C41" s="120"/>
      <c r="D41" s="120"/>
      <c r="E41" s="120"/>
      <c r="F41" s="121"/>
      <c r="G41" s="120"/>
      <c r="H41" s="120"/>
      <c r="P41" s="109" t="s">
        <v>283</v>
      </c>
      <c r="Q41" s="110" t="s">
        <v>283</v>
      </c>
    </row>
    <row r="42" spans="1:17" ht="13.8" x14ac:dyDescent="0.3">
      <c r="A42" s="120"/>
      <c r="B42" s="120"/>
      <c r="C42" s="120"/>
      <c r="D42" s="120"/>
      <c r="E42" s="120"/>
      <c r="F42" s="121"/>
      <c r="G42" s="120"/>
      <c r="H42" s="120"/>
      <c r="P42" s="109" t="s">
        <v>284</v>
      </c>
      <c r="Q42" s="110" t="s">
        <v>284</v>
      </c>
    </row>
    <row r="43" spans="1:17" ht="13.8" x14ac:dyDescent="0.3">
      <c r="A43" s="120"/>
      <c r="B43" s="120"/>
      <c r="C43" s="120"/>
      <c r="D43" s="120"/>
      <c r="E43" s="120"/>
      <c r="F43" s="121"/>
      <c r="G43" s="120"/>
      <c r="H43" s="120"/>
      <c r="P43" s="109" t="s">
        <v>285</v>
      </c>
      <c r="Q43" s="110" t="s">
        <v>285</v>
      </c>
    </row>
    <row r="44" spans="1:17" ht="13.8" x14ac:dyDescent="0.3">
      <c r="A44" s="120"/>
      <c r="B44" s="120"/>
      <c r="C44" s="120"/>
      <c r="D44" s="120"/>
      <c r="E44" s="120"/>
      <c r="F44" s="121"/>
      <c r="G44" s="120"/>
      <c r="H44" s="120"/>
      <c r="P44" s="109" t="s">
        <v>323</v>
      </c>
      <c r="Q44" s="110" t="s">
        <v>286</v>
      </c>
    </row>
    <row r="45" spans="1:17" ht="13.8" x14ac:dyDescent="0.3">
      <c r="A45" s="120"/>
      <c r="B45" s="120"/>
      <c r="C45" s="120"/>
      <c r="D45" s="120"/>
      <c r="E45" s="120"/>
      <c r="F45" s="121"/>
      <c r="G45" s="120"/>
      <c r="H45" s="120"/>
      <c r="P45" s="109" t="s">
        <v>197</v>
      </c>
      <c r="Q45" s="110" t="s">
        <v>454</v>
      </c>
    </row>
    <row r="46" spans="1:17" ht="13.8" x14ac:dyDescent="0.3">
      <c r="A46" s="120"/>
      <c r="B46" s="120"/>
      <c r="C46" s="120"/>
      <c r="D46" s="120"/>
      <c r="E46" s="120"/>
      <c r="F46" s="121"/>
      <c r="G46" s="120"/>
      <c r="H46" s="120"/>
      <c r="Q46" s="110" t="s">
        <v>455</v>
      </c>
    </row>
    <row r="47" spans="1:17" ht="13.8" x14ac:dyDescent="0.3">
      <c r="A47" s="120"/>
      <c r="B47" s="120"/>
      <c r="C47" s="120"/>
      <c r="D47" s="120"/>
      <c r="E47" s="120"/>
      <c r="F47" s="121"/>
      <c r="G47" s="120"/>
      <c r="H47" s="120"/>
      <c r="Q47" s="110" t="s">
        <v>456</v>
      </c>
    </row>
    <row r="48" spans="1:17" x14ac:dyDescent="0.3">
      <c r="Q48" s="110" t="s">
        <v>457</v>
      </c>
    </row>
    <row r="49" spans="17:17" x14ac:dyDescent="0.3">
      <c r="Q49" s="110" t="s">
        <v>458</v>
      </c>
    </row>
    <row r="50" spans="17:17" x14ac:dyDescent="0.3">
      <c r="Q50" s="110" t="s">
        <v>459</v>
      </c>
    </row>
    <row r="51" spans="17:17" x14ac:dyDescent="0.3">
      <c r="Q51" s="110" t="s">
        <v>460</v>
      </c>
    </row>
    <row r="52" spans="17:17" x14ac:dyDescent="0.3">
      <c r="Q52" s="110" t="s">
        <v>461</v>
      </c>
    </row>
    <row r="53" spans="17:17" x14ac:dyDescent="0.3">
      <c r="Q53" s="110" t="s">
        <v>462</v>
      </c>
    </row>
    <row r="54" spans="17:17" x14ac:dyDescent="0.3">
      <c r="Q54" s="110" t="s">
        <v>463</v>
      </c>
    </row>
    <row r="55" spans="17:17" x14ac:dyDescent="0.3">
      <c r="Q55" s="110" t="s">
        <v>464</v>
      </c>
    </row>
    <row r="56" spans="17:17" x14ac:dyDescent="0.3">
      <c r="Q56" s="110" t="s">
        <v>465</v>
      </c>
    </row>
    <row r="57" spans="17:17" x14ac:dyDescent="0.3">
      <c r="Q57" s="110" t="s">
        <v>466</v>
      </c>
    </row>
    <row r="58" spans="17:17" x14ac:dyDescent="0.3">
      <c r="Q58" s="110" t="s">
        <v>467</v>
      </c>
    </row>
    <row r="59" spans="17:17" x14ac:dyDescent="0.3">
      <c r="Q59" s="110" t="s">
        <v>468</v>
      </c>
    </row>
    <row r="60" spans="17:17" x14ac:dyDescent="0.3">
      <c r="Q60" s="110" t="s">
        <v>469</v>
      </c>
    </row>
    <row r="61" spans="17:17" x14ac:dyDescent="0.3">
      <c r="Q61" s="110" t="s">
        <v>470</v>
      </c>
    </row>
    <row r="62" spans="17:17" x14ac:dyDescent="0.3">
      <c r="Q62" s="110" t="s">
        <v>471</v>
      </c>
    </row>
    <row r="63" spans="17:17" x14ac:dyDescent="0.3">
      <c r="Q63" s="110" t="s">
        <v>472</v>
      </c>
    </row>
    <row r="64" spans="17:17" x14ac:dyDescent="0.3">
      <c r="Q64" s="110" t="s">
        <v>473</v>
      </c>
    </row>
    <row r="65" spans="17:17" x14ac:dyDescent="0.3">
      <c r="Q65" s="110" t="s">
        <v>474</v>
      </c>
    </row>
    <row r="66" spans="17:17" x14ac:dyDescent="0.3">
      <c r="Q66" s="110" t="s">
        <v>475</v>
      </c>
    </row>
    <row r="67" spans="17:17" x14ac:dyDescent="0.3">
      <c r="Q67" s="110" t="s">
        <v>476</v>
      </c>
    </row>
    <row r="68" spans="17:17" x14ac:dyDescent="0.3">
      <c r="Q68" s="110" t="s">
        <v>477</v>
      </c>
    </row>
    <row r="69" spans="17:17" x14ac:dyDescent="0.3">
      <c r="Q69" s="110" t="s">
        <v>478</v>
      </c>
    </row>
    <row r="70" spans="17:17" x14ac:dyDescent="0.3">
      <c r="Q70" s="110" t="s">
        <v>479</v>
      </c>
    </row>
    <row r="71" spans="17:17" x14ac:dyDescent="0.3">
      <c r="Q71" s="110" t="s">
        <v>480</v>
      </c>
    </row>
    <row r="72" spans="17:17" x14ac:dyDescent="0.3">
      <c r="Q72" s="110" t="s">
        <v>481</v>
      </c>
    </row>
    <row r="73" spans="17:17" x14ac:dyDescent="0.3">
      <c r="Q73" s="110" t="s">
        <v>482</v>
      </c>
    </row>
    <row r="74" spans="17:17" x14ac:dyDescent="0.3">
      <c r="Q74" s="110" t="s">
        <v>483</v>
      </c>
    </row>
    <row r="75" spans="17:17" x14ac:dyDescent="0.3">
      <c r="Q75" s="110" t="s">
        <v>484</v>
      </c>
    </row>
    <row r="76" spans="17:17" x14ac:dyDescent="0.3">
      <c r="Q76" s="110" t="s">
        <v>485</v>
      </c>
    </row>
    <row r="77" spans="17:17" x14ac:dyDescent="0.3">
      <c r="Q77" s="110" t="s">
        <v>486</v>
      </c>
    </row>
    <row r="78" spans="17:17" x14ac:dyDescent="0.3">
      <c r="Q78" s="110" t="s">
        <v>487</v>
      </c>
    </row>
    <row r="79" spans="17:17" x14ac:dyDescent="0.3">
      <c r="Q79" s="110" t="s">
        <v>488</v>
      </c>
    </row>
    <row r="80" spans="17:17" x14ac:dyDescent="0.3">
      <c r="Q80" s="110" t="s">
        <v>489</v>
      </c>
    </row>
    <row r="81" spans="17:17" x14ac:dyDescent="0.3">
      <c r="Q81" s="110" t="s">
        <v>490</v>
      </c>
    </row>
    <row r="82" spans="17:17" x14ac:dyDescent="0.3">
      <c r="Q82" s="110" t="s">
        <v>491</v>
      </c>
    </row>
    <row r="83" spans="17:17" x14ac:dyDescent="0.3">
      <c r="Q83" s="110" t="s">
        <v>492</v>
      </c>
    </row>
    <row r="84" spans="17:17" x14ac:dyDescent="0.3">
      <c r="Q84" s="110" t="s">
        <v>493</v>
      </c>
    </row>
    <row r="85" spans="17:17" x14ac:dyDescent="0.3">
      <c r="Q85" s="110" t="s">
        <v>494</v>
      </c>
    </row>
    <row r="86" spans="17:17" x14ac:dyDescent="0.3">
      <c r="Q86" s="110" t="s">
        <v>495</v>
      </c>
    </row>
    <row r="87" spans="17:17" x14ac:dyDescent="0.3">
      <c r="Q87" s="110" t="s">
        <v>496</v>
      </c>
    </row>
    <row r="88" spans="17:17" x14ac:dyDescent="0.3">
      <c r="Q88" s="110" t="s">
        <v>497</v>
      </c>
    </row>
    <row r="89" spans="17:17" x14ac:dyDescent="0.3">
      <c r="Q89" s="110" t="s">
        <v>498</v>
      </c>
    </row>
    <row r="90" spans="17:17" x14ac:dyDescent="0.3">
      <c r="Q90" s="110" t="s">
        <v>499</v>
      </c>
    </row>
    <row r="91" spans="17:17" x14ac:dyDescent="0.3">
      <c r="Q91" s="110" t="s">
        <v>500</v>
      </c>
    </row>
    <row r="92" spans="17:17" x14ac:dyDescent="0.3">
      <c r="Q92" s="110" t="s">
        <v>501</v>
      </c>
    </row>
    <row r="93" spans="17:17" x14ac:dyDescent="0.3">
      <c r="Q93" s="110" t="s">
        <v>502</v>
      </c>
    </row>
    <row r="94" spans="17:17" x14ac:dyDescent="0.3">
      <c r="Q94" s="110" t="s">
        <v>503</v>
      </c>
    </row>
    <row r="95" spans="17:17" x14ac:dyDescent="0.3">
      <c r="Q95" s="110" t="s">
        <v>504</v>
      </c>
    </row>
    <row r="96" spans="17:17" x14ac:dyDescent="0.3">
      <c r="Q96" s="110" t="s">
        <v>505</v>
      </c>
    </row>
    <row r="97" spans="17:17" x14ac:dyDescent="0.3">
      <c r="Q97" s="110" t="s">
        <v>506</v>
      </c>
    </row>
    <row r="98" spans="17:17" x14ac:dyDescent="0.3">
      <c r="Q98" s="110" t="s">
        <v>507</v>
      </c>
    </row>
    <row r="99" spans="17:17" x14ac:dyDescent="0.3">
      <c r="Q99" s="110" t="s">
        <v>508</v>
      </c>
    </row>
    <row r="100" spans="17:17" x14ac:dyDescent="0.3">
      <c r="Q100" s="110" t="s">
        <v>509</v>
      </c>
    </row>
    <row r="101" spans="17:17" x14ac:dyDescent="0.3">
      <c r="Q101" s="110" t="s">
        <v>510</v>
      </c>
    </row>
    <row r="102" spans="17:17" x14ac:dyDescent="0.3">
      <c r="Q102" s="110" t="s">
        <v>511</v>
      </c>
    </row>
    <row r="103" spans="17:17" x14ac:dyDescent="0.3">
      <c r="Q103" s="110" t="s">
        <v>512</v>
      </c>
    </row>
    <row r="104" spans="17:17" x14ac:dyDescent="0.3">
      <c r="Q104" s="110" t="s">
        <v>323</v>
      </c>
    </row>
    <row r="105" spans="17:17" x14ac:dyDescent="0.3">
      <c r="Q105" s="110" t="s">
        <v>197</v>
      </c>
    </row>
    <row r="106" spans="17:17" x14ac:dyDescent="0.3"/>
  </sheetData>
  <customSheetViews>
    <customSheetView guid="{05B837B4-FDDA-47B8-9D6D-B0632FFD6D77}" state="hidden">
      <selection activeCell="J29" sqref="J29"/>
      <pageMargins left="0.7" right="0.7" top="0.75" bottom="0.75" header="0.3" footer="0.3"/>
    </customSheetView>
    <customSheetView guid="{43331C61-E5DE-4680-8381-52BB1541163B}">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88671875" defaultRowHeight="14.4" x14ac:dyDescent="0.3"/>
  <cols>
    <col min="1" max="1" width="41.5546875" bestFit="1" customWidth="1"/>
    <col min="4" max="4" width="9.6640625" customWidth="1"/>
    <col min="6" max="6" width="32.3320312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2" t="s">
        <v>516</v>
      </c>
      <c r="B9" s="213"/>
      <c r="C9" s="213"/>
      <c r="D9" s="214"/>
    </row>
    <row r="10" spans="1:4" x14ac:dyDescent="0.3">
      <c r="A10" s="215" t="s">
        <v>517</v>
      </c>
      <c r="B10" s="216"/>
      <c r="C10" s="216"/>
      <c r="D10" s="216"/>
    </row>
    <row r="11" spans="1:4" x14ac:dyDescent="0.3">
      <c r="A11" s="217" t="s">
        <v>1</v>
      </c>
      <c r="B11" s="9"/>
      <c r="C11" s="9"/>
      <c r="D11" s="9"/>
    </row>
    <row r="12" spans="1:4" x14ac:dyDescent="0.3">
      <c r="A12" s="217"/>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518</v>
      </c>
      <c r="B24" s="11"/>
      <c r="C24" s="11"/>
      <c r="D24" s="11"/>
    </row>
    <row r="25" spans="1:4" x14ac:dyDescent="0.3">
      <c r="A25" s="14" t="s">
        <v>519</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05B837B4-FDDA-47B8-9D6D-B0632FFD6D77}" state="hidden">
      <selection activeCell="A31" sqref="A31:L32"/>
      <pageMargins left="0.7" right="0.7" top="0.75" bottom="0.75" header="0.3" footer="0.3"/>
    </customSheetView>
    <customSheetView guid="{43331C61-E5DE-4680-8381-52BB1541163B}">
      <selection activeCell="F28" sqref="F28"/>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32</v>
      </c>
      <c r="C1" s="2" t="s">
        <v>33</v>
      </c>
      <c r="D1" s="2" t="s">
        <v>56</v>
      </c>
      <c r="E1" s="2" t="s">
        <v>57</v>
      </c>
      <c r="F1" s="252" t="s">
        <v>163</v>
      </c>
      <c r="G1" s="252"/>
      <c r="H1" s="252"/>
      <c r="I1" s="253" t="s">
        <v>164</v>
      </c>
      <c r="J1" s="253"/>
      <c r="K1" s="253"/>
      <c r="L1" s="254" t="s">
        <v>148</v>
      </c>
      <c r="M1" s="254"/>
      <c r="N1" s="254"/>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174</v>
      </c>
      <c r="C3" s="40" t="s">
        <v>35</v>
      </c>
      <c r="D3" s="40" t="s">
        <v>58</v>
      </c>
      <c r="E3" s="41" t="s">
        <v>162</v>
      </c>
      <c r="F3" s="258" t="s">
        <v>161</v>
      </c>
      <c r="G3" s="258"/>
      <c r="H3" s="258"/>
      <c r="I3" s="42">
        <f>'ADDITIONAL statistics for SDGs'!B9</f>
        <v>0</v>
      </c>
      <c r="J3" s="43" t="s">
        <v>18</v>
      </c>
      <c r="K3" s="43" t="s">
        <v>18</v>
      </c>
      <c r="L3" s="44" t="e">
        <f>20294/I3</f>
        <v>#DIV/0!</v>
      </c>
      <c r="M3" s="43" t="s">
        <v>18</v>
      </c>
      <c r="N3" s="43" t="s">
        <v>18</v>
      </c>
    </row>
    <row r="4" spans="1:14" ht="43.2" x14ac:dyDescent="0.3">
      <c r="A4" s="255" t="s">
        <v>172</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55"/>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55"/>
      <c r="B6" s="3" t="s">
        <v>175</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55"/>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55"/>
      <c r="B8" s="3" t="s">
        <v>176</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55"/>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55"/>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55"/>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56"/>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55" t="s">
        <v>173</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55"/>
      <c r="B15" s="6" t="s">
        <v>166</v>
      </c>
      <c r="C15" s="6" t="s">
        <v>78</v>
      </c>
      <c r="D15" s="6" t="s">
        <v>79</v>
      </c>
      <c r="E15" s="6" t="s">
        <v>169</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55"/>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55"/>
      <c r="B17" s="6" t="s">
        <v>167</v>
      </c>
      <c r="C17" s="6" t="s">
        <v>83</v>
      </c>
      <c r="D17" s="6" t="s">
        <v>84</v>
      </c>
      <c r="E17" s="5" t="s">
        <v>168</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55"/>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55"/>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55"/>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55"/>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55"/>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55"/>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55"/>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55"/>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55"/>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55"/>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56"/>
      <c r="B28" s="49" t="s">
        <v>170</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55" t="s">
        <v>118</v>
      </c>
      <c r="B30" s="6" t="s">
        <v>119</v>
      </c>
      <c r="C30" s="257" t="s">
        <v>120</v>
      </c>
      <c r="D30" s="6"/>
      <c r="E30" s="6"/>
      <c r="F30" s="31"/>
      <c r="G30" s="33"/>
      <c r="H30" s="33"/>
      <c r="I30" s="31"/>
      <c r="J30" s="31"/>
      <c r="K30" s="31"/>
      <c r="L30" s="34"/>
      <c r="M30" s="34"/>
      <c r="N30" s="34"/>
    </row>
    <row r="31" spans="1:14" x14ac:dyDescent="0.3">
      <c r="A31" s="255"/>
      <c r="B31" s="7" t="s">
        <v>3</v>
      </c>
      <c r="C31" s="257"/>
      <c r="D31" s="6" t="s">
        <v>121</v>
      </c>
      <c r="E31" s="6" t="s">
        <v>122</v>
      </c>
      <c r="F31" s="31"/>
      <c r="G31" s="31"/>
      <c r="H31" s="31"/>
      <c r="I31" s="31">
        <f>'ADDITIONAL statistics for SDGs'!$B$31</f>
        <v>0</v>
      </c>
      <c r="J31" s="31"/>
      <c r="K31" s="31"/>
      <c r="L31" s="34" t="e">
        <f t="shared" ref="L31:L39" si="4">F31/I31</f>
        <v>#DIV/0!</v>
      </c>
      <c r="M31" s="31"/>
      <c r="N31" s="31"/>
    </row>
    <row r="32" spans="1:14" x14ac:dyDescent="0.3">
      <c r="A32" s="255"/>
      <c r="B32" s="7" t="s">
        <v>4</v>
      </c>
      <c r="C32" s="257"/>
      <c r="D32" s="6" t="s">
        <v>123</v>
      </c>
      <c r="E32" s="6" t="s">
        <v>122</v>
      </c>
      <c r="F32" s="31"/>
      <c r="G32" s="31"/>
      <c r="H32" s="31"/>
      <c r="I32" s="31">
        <f>'ADDITIONAL statistics for SDGs'!$B$31</f>
        <v>0</v>
      </c>
      <c r="J32" s="31"/>
      <c r="K32" s="31"/>
      <c r="L32" s="34" t="e">
        <f t="shared" si="4"/>
        <v>#DIV/0!</v>
      </c>
      <c r="M32" s="31"/>
      <c r="N32" s="31"/>
    </row>
    <row r="33" spans="1:14" x14ac:dyDescent="0.3">
      <c r="A33" s="255"/>
      <c r="B33" s="7" t="s">
        <v>11</v>
      </c>
      <c r="C33" s="257"/>
      <c r="D33" s="6" t="s">
        <v>124</v>
      </c>
      <c r="E33" s="6" t="s">
        <v>122</v>
      </c>
      <c r="F33" s="31"/>
      <c r="G33" s="31"/>
      <c r="H33" s="31"/>
      <c r="I33" s="31">
        <f>'ADDITIONAL statistics for SDGs'!$B$31</f>
        <v>0</v>
      </c>
      <c r="J33" s="31"/>
      <c r="K33" s="31"/>
      <c r="L33" s="34" t="e">
        <f t="shared" si="4"/>
        <v>#DIV/0!</v>
      </c>
      <c r="M33" s="31"/>
      <c r="N33" s="31"/>
    </row>
    <row r="34" spans="1:14" x14ac:dyDescent="0.3">
      <c r="A34" s="255"/>
      <c r="B34" s="7" t="s">
        <v>5</v>
      </c>
      <c r="C34" s="257"/>
      <c r="D34" s="6" t="s">
        <v>125</v>
      </c>
      <c r="E34" s="6" t="s">
        <v>122</v>
      </c>
      <c r="F34" s="31"/>
      <c r="G34" s="31"/>
      <c r="H34" s="31"/>
      <c r="I34" s="31">
        <f>'ADDITIONAL statistics for SDGs'!$B$31</f>
        <v>0</v>
      </c>
      <c r="J34" s="31"/>
      <c r="K34" s="31"/>
      <c r="L34" s="34" t="e">
        <f t="shared" si="4"/>
        <v>#DIV/0!</v>
      </c>
      <c r="M34" s="31"/>
      <c r="N34" s="31"/>
    </row>
    <row r="35" spans="1:14" ht="28.8" x14ac:dyDescent="0.3">
      <c r="A35" s="255"/>
      <c r="B35" s="6" t="s">
        <v>126</v>
      </c>
      <c r="C35" s="259" t="s">
        <v>127</v>
      </c>
      <c r="D35" s="6"/>
      <c r="E35" s="6"/>
      <c r="F35" s="31"/>
      <c r="G35" s="31"/>
      <c r="H35" s="31"/>
      <c r="I35" s="31"/>
      <c r="J35" s="31"/>
      <c r="K35" s="31"/>
      <c r="L35" s="34"/>
      <c r="M35" s="31"/>
      <c r="N35" s="31"/>
    </row>
    <row r="36" spans="1:14" x14ac:dyDescent="0.3">
      <c r="A36" s="255"/>
      <c r="B36" s="7" t="s">
        <v>3</v>
      </c>
      <c r="C36" s="260"/>
      <c r="D36" s="6" t="s">
        <v>128</v>
      </c>
      <c r="E36" s="6" t="s">
        <v>129</v>
      </c>
      <c r="F36" s="31"/>
      <c r="G36" s="33"/>
      <c r="H36" s="33"/>
      <c r="I36" s="33">
        <f>'ADDITIONAL statistics for SDGs'!$B$30</f>
        <v>0</v>
      </c>
      <c r="J36" s="33"/>
      <c r="K36" s="33"/>
      <c r="L36" s="34" t="e">
        <f t="shared" si="4"/>
        <v>#DIV/0!</v>
      </c>
      <c r="M36" s="33"/>
      <c r="N36" s="33"/>
    </row>
    <row r="37" spans="1:14" x14ac:dyDescent="0.3">
      <c r="A37" s="255"/>
      <c r="B37" s="7" t="s">
        <v>4</v>
      </c>
      <c r="C37" s="260"/>
      <c r="D37" s="6" t="s">
        <v>130</v>
      </c>
      <c r="E37" s="6" t="s">
        <v>129</v>
      </c>
      <c r="F37" s="31"/>
      <c r="G37" s="33"/>
      <c r="H37" s="33"/>
      <c r="I37" s="33">
        <f>'ADDITIONAL statistics for SDGs'!B30</f>
        <v>0</v>
      </c>
      <c r="J37" s="33"/>
      <c r="K37" s="33"/>
      <c r="L37" s="34" t="e">
        <f t="shared" si="4"/>
        <v>#DIV/0!</v>
      </c>
      <c r="M37" s="33"/>
      <c r="N37" s="33"/>
    </row>
    <row r="38" spans="1:14" x14ac:dyDescent="0.3">
      <c r="A38" s="255"/>
      <c r="B38" s="7" t="s">
        <v>11</v>
      </c>
      <c r="C38" s="260"/>
      <c r="D38" s="6" t="s">
        <v>131</v>
      </c>
      <c r="E38" s="6" t="s">
        <v>129</v>
      </c>
      <c r="F38" s="31"/>
      <c r="G38" s="33"/>
      <c r="H38" s="33"/>
      <c r="I38" s="33">
        <f>'ADDITIONAL statistics for SDGs'!B30</f>
        <v>0</v>
      </c>
      <c r="J38" s="33"/>
      <c r="K38" s="33"/>
      <c r="L38" s="34" t="e">
        <f t="shared" si="4"/>
        <v>#DIV/0!</v>
      </c>
      <c r="M38" s="33"/>
      <c r="N38" s="33"/>
    </row>
    <row r="39" spans="1:14" x14ac:dyDescent="0.3">
      <c r="A39" s="255"/>
      <c r="B39" s="7" t="s">
        <v>5</v>
      </c>
      <c r="C39" s="260"/>
      <c r="D39" s="6" t="s">
        <v>132</v>
      </c>
      <c r="E39" s="6" t="s">
        <v>129</v>
      </c>
      <c r="F39" s="31"/>
      <c r="G39" s="33"/>
      <c r="H39" s="33"/>
      <c r="I39" s="33">
        <f>'ADDITIONAL statistics for SDGs'!B30</f>
        <v>0</v>
      </c>
      <c r="J39" s="33"/>
      <c r="K39" s="33"/>
      <c r="L39" s="34" t="e">
        <f t="shared" si="4"/>
        <v>#DIV/0!</v>
      </c>
      <c r="M39" s="33"/>
      <c r="N39" s="33"/>
    </row>
    <row r="40" spans="1:14" x14ac:dyDescent="0.3">
      <c r="A40" s="255"/>
      <c r="C40" s="261"/>
      <c r="D40" s="6"/>
      <c r="E40" s="6"/>
      <c r="F40" s="31"/>
      <c r="G40" s="33"/>
      <c r="H40" s="33"/>
      <c r="I40" s="33"/>
      <c r="J40" s="33"/>
      <c r="K40" s="33"/>
      <c r="L40" s="34"/>
      <c r="M40" s="33"/>
      <c r="N40" s="33"/>
    </row>
    <row r="41" spans="1:14" ht="28.8" x14ac:dyDescent="0.3">
      <c r="A41" s="255"/>
      <c r="B41" s="6" t="s">
        <v>133</v>
      </c>
      <c r="C41" s="257" t="s">
        <v>171</v>
      </c>
      <c r="D41" s="6"/>
      <c r="E41" s="6"/>
      <c r="F41" s="31"/>
      <c r="G41" s="33"/>
      <c r="H41" s="33"/>
      <c r="I41" s="33"/>
      <c r="J41" s="33"/>
      <c r="K41" s="33"/>
      <c r="L41" s="34"/>
      <c r="M41" s="33"/>
      <c r="N41" s="33"/>
    </row>
    <row r="42" spans="1:14" x14ac:dyDescent="0.3">
      <c r="A42" s="255"/>
      <c r="B42" s="7" t="s">
        <v>3</v>
      </c>
      <c r="C42" s="257"/>
      <c r="D42" s="6" t="s">
        <v>134</v>
      </c>
      <c r="E42" s="6" t="s">
        <v>135</v>
      </c>
      <c r="F42" s="31"/>
      <c r="G42" s="33"/>
      <c r="H42" s="33"/>
      <c r="I42" s="33">
        <f>'Info Pauvreté'!B23</f>
        <v>0</v>
      </c>
      <c r="J42" s="33"/>
      <c r="K42" s="33"/>
      <c r="L42" s="34" t="e">
        <f>F42/I42</f>
        <v>#DIV/0!</v>
      </c>
      <c r="M42" s="33"/>
      <c r="N42" s="33"/>
    </row>
    <row r="43" spans="1:14" x14ac:dyDescent="0.3">
      <c r="A43" s="255"/>
      <c r="B43" s="7" t="s">
        <v>4</v>
      </c>
      <c r="C43" s="257"/>
      <c r="D43" s="6" t="s">
        <v>136</v>
      </c>
      <c r="E43" s="6" t="s">
        <v>137</v>
      </c>
      <c r="F43" s="31"/>
      <c r="G43" s="33"/>
      <c r="H43" s="33"/>
      <c r="I43" s="33">
        <f>'Info Pauvreté'!B22</f>
        <v>0</v>
      </c>
      <c r="J43" s="33"/>
      <c r="K43" s="33"/>
      <c r="L43" s="34" t="e">
        <f t="shared" ref="L43:L50" si="5">F43/I43</f>
        <v>#DIV/0!</v>
      </c>
      <c r="M43" s="33"/>
      <c r="N43" s="33"/>
    </row>
    <row r="44" spans="1:14" x14ac:dyDescent="0.3">
      <c r="A44" s="255"/>
      <c r="B44" s="7" t="s">
        <v>16</v>
      </c>
      <c r="C44" s="257"/>
      <c r="D44" s="6" t="s">
        <v>138</v>
      </c>
      <c r="E44" s="6" t="s">
        <v>139</v>
      </c>
      <c r="F44" s="31"/>
      <c r="G44" s="33"/>
      <c r="H44" s="33"/>
      <c r="I44" s="33">
        <f>'Info Pauvreté'!B21</f>
        <v>0</v>
      </c>
      <c r="J44" s="33"/>
      <c r="K44" s="33"/>
      <c r="L44" s="34" t="e">
        <f t="shared" si="5"/>
        <v>#DIV/0!</v>
      </c>
      <c r="M44" s="33"/>
      <c r="N44" s="33"/>
    </row>
    <row r="45" spans="1:14" ht="28.8" x14ac:dyDescent="0.3">
      <c r="A45" s="255"/>
      <c r="B45" s="7" t="s">
        <v>140</v>
      </c>
      <c r="C45" s="257"/>
      <c r="D45" s="6" t="s">
        <v>141</v>
      </c>
      <c r="E45" s="6" t="s">
        <v>137</v>
      </c>
      <c r="F45" s="31"/>
      <c r="G45" s="33"/>
      <c r="H45" s="33"/>
      <c r="I45" s="33">
        <f>'Info Pauvreté'!B22</f>
        <v>0</v>
      </c>
      <c r="J45" s="33"/>
      <c r="K45" s="33"/>
      <c r="L45" s="34" t="e">
        <f t="shared" si="5"/>
        <v>#DIV/0!</v>
      </c>
      <c r="M45" s="33"/>
      <c r="N45" s="33"/>
    </row>
    <row r="46" spans="1:14" ht="28.8" x14ac:dyDescent="0.3">
      <c r="A46" s="255"/>
      <c r="B46" s="6" t="s">
        <v>142</v>
      </c>
      <c r="C46" s="257" t="s">
        <v>143</v>
      </c>
      <c r="D46" s="6"/>
      <c r="E46" s="6"/>
      <c r="F46" s="31"/>
      <c r="G46" s="33"/>
      <c r="H46" s="33"/>
      <c r="I46" s="33"/>
      <c r="J46" s="33"/>
      <c r="K46" s="33"/>
      <c r="L46" s="34"/>
      <c r="M46" s="33"/>
      <c r="N46" s="33"/>
    </row>
    <row r="47" spans="1:14" x14ac:dyDescent="0.3">
      <c r="A47" s="255"/>
      <c r="B47" s="7" t="s">
        <v>3</v>
      </c>
      <c r="C47" s="257"/>
      <c r="D47" s="6" t="s">
        <v>134</v>
      </c>
      <c r="E47" s="6" t="s">
        <v>144</v>
      </c>
      <c r="F47" s="31"/>
      <c r="G47" s="33"/>
      <c r="H47" s="33"/>
      <c r="I47" s="33">
        <f>'Info Pauvreté'!B20</f>
        <v>0</v>
      </c>
      <c r="J47" s="33"/>
      <c r="K47" s="33"/>
      <c r="L47" s="34" t="e">
        <f t="shared" si="5"/>
        <v>#DIV/0!</v>
      </c>
      <c r="M47" s="33"/>
      <c r="N47" s="33"/>
    </row>
    <row r="48" spans="1:14" x14ac:dyDescent="0.3">
      <c r="A48" s="255"/>
      <c r="B48" s="7" t="s">
        <v>4</v>
      </c>
      <c r="C48" s="257"/>
      <c r="D48" s="6" t="s">
        <v>136</v>
      </c>
      <c r="E48" s="6" t="s">
        <v>145</v>
      </c>
      <c r="F48" s="31"/>
      <c r="G48" s="33"/>
      <c r="H48" s="33"/>
      <c r="I48" s="33">
        <f>'Info Pauvreté'!B19</f>
        <v>0</v>
      </c>
      <c r="J48" s="33"/>
      <c r="K48" s="33"/>
      <c r="L48" s="34" t="e">
        <f t="shared" si="5"/>
        <v>#DIV/0!</v>
      </c>
      <c r="M48" s="33"/>
      <c r="N48" s="33"/>
    </row>
    <row r="49" spans="1:14" x14ac:dyDescent="0.3">
      <c r="A49" s="255"/>
      <c r="B49" s="7" t="s">
        <v>16</v>
      </c>
      <c r="C49" s="257"/>
      <c r="D49" s="6" t="s">
        <v>138</v>
      </c>
      <c r="E49" s="6" t="s">
        <v>146</v>
      </c>
      <c r="F49" s="31"/>
      <c r="G49" s="33"/>
      <c r="H49" s="33"/>
      <c r="I49" s="33">
        <f>'Info Pauvreté'!B18</f>
        <v>0</v>
      </c>
      <c r="J49" s="33"/>
      <c r="K49" s="33"/>
      <c r="L49" s="34" t="e">
        <f t="shared" si="5"/>
        <v>#DIV/0!</v>
      </c>
      <c r="M49" s="33"/>
      <c r="N49" s="33"/>
    </row>
    <row r="50" spans="1:14" ht="28.8" x14ac:dyDescent="0.3">
      <c r="A50" s="255"/>
      <c r="B50" s="7" t="s">
        <v>140</v>
      </c>
      <c r="C50" s="257"/>
      <c r="D50" s="6" t="s">
        <v>141</v>
      </c>
      <c r="E50" s="6" t="s">
        <v>147</v>
      </c>
      <c r="F50" s="31"/>
      <c r="G50" s="33"/>
      <c r="H50" s="33"/>
      <c r="I50" s="33">
        <f>'Info Pauvreté'!B17</f>
        <v>0</v>
      </c>
      <c r="J50" s="33"/>
      <c r="K50" s="33"/>
      <c r="L50" s="34" t="e">
        <f t="shared" si="5"/>
        <v>#DIV/0!</v>
      </c>
      <c r="M50" s="33"/>
      <c r="N50" s="33"/>
    </row>
  </sheetData>
  <customSheetViews>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 guid="{43331C61-E5DE-4680-8381-52BB1541163B}">
      <pane xSplit="2" ySplit="1" topLeftCell="E2" activePane="bottomRight" state="frozen"/>
      <selection pane="bottomRight" activeCell="H11" sqref="H11"/>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2026-06-13T23:25:07Z</dcterms:modified>
</cp:coreProperties>
</file>