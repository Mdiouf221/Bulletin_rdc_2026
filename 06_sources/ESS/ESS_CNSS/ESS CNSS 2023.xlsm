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
    </mc:Choice>
  </mc:AlternateContent>
  <xr:revisionPtr revIDLastSave="76" documentId="13_ncr:1_{0B27110B-FA8C-420E-968D-E1262AC64667}" xr6:coauthVersionLast="47" xr6:coauthVersionMax="47" xr10:uidLastSave="{E2523151-5239-472D-8E96-383067710885}"/>
  <bookViews>
    <workbookView xWindow="-28920" yWindow="-4620"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6" i="9" l="1"/>
  <c r="L7" i="15"/>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I6" authorId="0" shapeId="0" xr:uid="{5C7AE1E8-4E31-4C7A-AC59-626D311EDE24}">
      <text>
        <r>
          <rPr>
            <b/>
            <sz val="9"/>
            <color indexed="81"/>
            <rFont val="Tahoma"/>
            <family val="2"/>
          </rPr>
          <t xml:space="preserve">Hp: les prestations de cette branche sont  : 
</t>
        </r>
        <r>
          <rPr>
            <sz val="9"/>
            <color indexed="81"/>
            <rFont val="Tahoma"/>
            <family val="2"/>
          </rPr>
          <t>Allocations prénatales ; 
Allocations de maternité ;
Indemnités journalières de congé de maternité.</t>
        </r>
      </text>
    </comment>
    <comment ref="J6" authorId="0" shapeId="0" xr:uid="{F56FE747-D8AC-4FAD-B401-04DC248E0B08}">
      <text>
        <r>
          <rPr>
            <b/>
            <sz val="9"/>
            <color indexed="81"/>
            <rFont val="Tahoma"/>
            <family val="2"/>
          </rPr>
          <t>Hp:</t>
        </r>
        <r>
          <rPr>
            <sz val="9"/>
            <color indexed="81"/>
            <rFont val="Tahoma"/>
            <family val="2"/>
          </rPr>
          <t xml:space="preserve">
Allocations familiales</t>
        </r>
      </text>
    </comment>
    <comment ref="AA6" authorId="0" shapeId="0" xr:uid="{74855751-CEBB-4E8B-8898-DB67F215FA1F}">
      <text>
        <r>
          <rPr>
            <b/>
            <sz val="9"/>
            <color indexed="81"/>
            <rFont val="Tahoma"/>
            <family val="2"/>
          </rPr>
          <t>Hp:</t>
        </r>
        <r>
          <rPr>
            <sz val="9"/>
            <color indexed="81"/>
            <rFont val="Tahoma"/>
            <family val="2"/>
          </rPr>
          <t xml:space="preserve">
396.399 enfants bénéficiaires des allocations familiales, 2 femmes bénéficiaires des indemnités journalières de congé de maternité, 167 femmes bénéficiaires des allocations de maternité et 184 femmes bénéficiaires des allocations prénatales</t>
        </r>
      </text>
    </comment>
    <comment ref="N7" authorId="0" shapeId="0" xr:uid="{D34867C7-FC27-4E5F-9947-675EA7B63BAF}">
      <text>
        <r>
          <rPr>
            <b/>
            <sz val="9"/>
            <color indexed="81"/>
            <rFont val="Tahoma"/>
            <family val="2"/>
          </rPr>
          <t>Hp:</t>
        </r>
        <r>
          <rPr>
            <sz val="9"/>
            <color indexed="81"/>
            <rFont val="Tahoma"/>
            <family val="2"/>
          </rPr>
          <t xml:space="preserve">
les prestations en cas d'accidents du travail, des maladies professionnelles et des maladies d'origine professionnelle. Ces prestations sont en nature (assistance médical, fourniture des produits pharmaceutiques, réadaptation fonctionnelle et reclassement de la victime, etc.) et en espèce (indemnité journalière, la rente ou l'allocation d'incapacité, l'allocation des frais funéraires, les rentes des survivants, les frais de réadaptation fonctionnelle ou de reclassement de la victime).</t>
        </r>
      </text>
    </comment>
    <comment ref="AA7" authorId="0" shapeId="0" xr:uid="{4D4B7FDC-9596-4C45-9EE7-874E53E8C6F6}">
      <text>
        <r>
          <rPr>
            <b/>
            <sz val="9"/>
            <color indexed="81"/>
            <rFont val="Tahoma"/>
            <family val="2"/>
          </rPr>
          <t>Hp:</t>
        </r>
        <r>
          <rPr>
            <sz val="9"/>
            <color indexed="81"/>
            <rFont val="Tahoma"/>
            <family val="2"/>
          </rPr>
          <t xml:space="preserve">
1.020 rentiers d'incapacité et 1.608 rentiers des survivants.</t>
        </r>
      </text>
    </comment>
    <comment ref="E8" authorId="0" shapeId="0" xr:uid="{66A23568-7A94-4C88-B567-D6E05C022663}">
      <text>
        <r>
          <rPr>
            <b/>
            <sz val="9"/>
            <color indexed="81"/>
            <rFont val="Tahoma"/>
            <family val="2"/>
          </rPr>
          <t>Hp:</t>
        </r>
        <r>
          <rPr>
            <sz val="9"/>
            <color indexed="81"/>
            <rFont val="Tahoma"/>
            <family val="2"/>
          </rPr>
          <t xml:space="preserve">
Les prestations de vieillesse sont : la pension de retraite et l'allocation unique de vieillesse.</t>
        </r>
      </text>
    </comment>
    <comment ref="F8" authorId="0" shapeId="0" xr:uid="{1944C363-73DA-4B4A-A89C-67A7F9787A99}">
      <text>
        <r>
          <rPr>
            <b/>
            <sz val="9"/>
            <color indexed="81"/>
            <rFont val="Tahoma"/>
            <family val="2"/>
          </rPr>
          <t>Hp:</t>
        </r>
        <r>
          <rPr>
            <sz val="9"/>
            <color indexed="81"/>
            <rFont val="Tahoma"/>
            <family val="2"/>
          </rPr>
          <t xml:space="preserve">
la pension d'invalidité.</t>
        </r>
      </text>
    </comment>
    <comment ref="G8" authorId="0" shapeId="0" xr:uid="{CDB0FCAA-F90D-4103-B904-CB82877AA02C}">
      <text>
        <r>
          <rPr>
            <b/>
            <sz val="9"/>
            <color indexed="81"/>
            <rFont val="Tahoma"/>
            <family val="2"/>
          </rPr>
          <t>Hp:</t>
        </r>
        <r>
          <rPr>
            <sz val="9"/>
            <color indexed="81"/>
            <rFont val="Tahoma"/>
            <family val="2"/>
          </rPr>
          <t xml:space="preserve">
la pension des survivants et l'allocation unique des survivants.</t>
        </r>
      </text>
    </comment>
    <comment ref="AA8" authorId="0" shapeId="0" xr:uid="{287796B6-8663-45BE-A2F6-E9C3F4E22F15}">
      <text>
        <r>
          <rPr>
            <b/>
            <sz val="9"/>
            <color indexed="81"/>
            <rFont val="Tahoma"/>
            <family val="2"/>
          </rPr>
          <t>Hp:</t>
        </r>
        <r>
          <rPr>
            <sz val="9"/>
            <color indexed="81"/>
            <rFont val="Tahoma"/>
            <family val="2"/>
          </rPr>
          <t xml:space="preserve">
39.465 retraités, 568 invalides, 25.720 survivants et 78 bénéficiaires de retraite anticipée.</t>
        </r>
      </text>
    </comment>
    <comment ref="U9" authorId="0" shapeId="0" xr:uid="{66FFCCC2-8C38-4C58-A475-4C1788A28F4F}">
      <text>
        <r>
          <rPr>
            <b/>
            <sz val="9"/>
            <color indexed="81"/>
            <rFont val="Tahoma"/>
            <family val="2"/>
          </rPr>
          <t>Hp:</t>
        </r>
        <r>
          <rPr>
            <sz val="9"/>
            <color indexed="81"/>
            <rFont val="Tahoma"/>
            <family val="2"/>
          </rPr>
          <t xml:space="preserve">
l'action sanitaire et sociale vient compléter les prestations des branches des pensions, des risques professionnels et des prestations aux familles. Il s'agit d'un paiement d'un montant forfait équivalent à 100 USD à la famille du retraité décédé.</t>
        </r>
      </text>
    </comment>
    <comment ref="AA9" authorId="0" shapeId="0" xr:uid="{91223488-EAC6-448D-9E41-C805F299EE1D}">
      <text>
        <r>
          <rPr>
            <b/>
            <sz val="9"/>
            <color indexed="81"/>
            <rFont val="Tahoma"/>
            <family val="2"/>
          </rPr>
          <t>Hp:</t>
        </r>
        <r>
          <rPr>
            <sz val="9"/>
            <color indexed="81"/>
            <rFont val="Tahoma"/>
            <family val="2"/>
          </rPr>
          <t xml:space="preserve">
Bénéficiaires de frais funéraires en 2022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F6" authorId="0" shapeId="0" xr:uid="{DBB2010B-062A-4DC6-9928-AB5CAB36DBDE}">
      <text>
        <r>
          <rPr>
            <b/>
            <sz val="9"/>
            <color indexed="81"/>
            <rFont val="Tahoma"/>
            <family val="2"/>
          </rPr>
          <t>Hp:</t>
        </r>
        <r>
          <rPr>
            <sz val="9"/>
            <color indexed="81"/>
            <rFont val="Tahoma"/>
            <family val="2"/>
          </rPr>
          <t xml:space="preserve">
Veuves/veufs et orphelins.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E5" authorId="0" shapeId="0" xr:uid="{6D8E4944-D4BC-4AE1-8D61-5A1B713A44D7}">
      <text>
        <r>
          <rPr>
            <b/>
            <sz val="9"/>
            <color indexed="81"/>
            <rFont val="Tahoma"/>
            <family val="2"/>
          </rPr>
          <t>Hp:</t>
        </r>
        <r>
          <rPr>
            <sz val="9"/>
            <color indexed="81"/>
            <rFont val="Tahoma"/>
            <family val="2"/>
          </rPr>
          <t xml:space="preserve">
Travailleurs soumis aux dispositions du Code du travail, les indépendants et les assurés volontaires.</t>
        </r>
      </text>
    </comment>
    <comment ref="W5" authorId="0" shapeId="0" xr:uid="{BE878771-1421-40D2-AA00-353D5C0843FC}">
      <text>
        <r>
          <rPr>
            <b/>
            <sz val="9"/>
            <color indexed="81"/>
            <rFont val="Tahoma"/>
            <family val="2"/>
          </rPr>
          <t>Hp:</t>
        </r>
        <r>
          <rPr>
            <sz val="9"/>
            <color indexed="81"/>
            <rFont val="Tahoma"/>
            <family val="2"/>
          </rPr>
          <t xml:space="preserve">
60 ans est l'âge d'ouverture à la retraite et 65 ans est l'âge définitif de départ à la retraite.</t>
        </r>
      </text>
    </comment>
    <comment ref="Z5" authorId="0" shapeId="0" xr:uid="{8361C554-9AF6-4ECC-8D99-8F9BAD8101B1}">
      <text>
        <r>
          <rPr>
            <b/>
            <sz val="9"/>
            <color indexed="81"/>
            <rFont val="Tahoma"/>
            <family val="2"/>
          </rPr>
          <t>Hp:</t>
        </r>
        <r>
          <rPr>
            <sz val="9"/>
            <color indexed="81"/>
            <rFont val="Tahoma"/>
            <family val="2"/>
          </rPr>
          <t xml:space="preserve">
dépenses totales engagées.</t>
        </r>
      </text>
    </comment>
    <comment ref="F7" authorId="0" shapeId="0" xr:uid="{A9E3F89F-972D-48A5-BADD-BD8EA0DFC1CB}">
      <text>
        <r>
          <rPr>
            <b/>
            <sz val="9"/>
            <color indexed="81"/>
            <rFont val="Tahoma"/>
            <family val="2"/>
          </rPr>
          <t>Hp:</t>
        </r>
        <r>
          <rPr>
            <sz val="9"/>
            <color indexed="81"/>
            <rFont val="Tahoma"/>
            <family val="2"/>
          </rPr>
          <t xml:space="preserve">
Veuves/veufs et orphélins selon le Code de la famille, ascendants entretenus par le retraité dans le cas où il n'avait pas des descendants.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<sst xmlns="http://schemas.openxmlformats.org/spreadsheetml/2006/main" count="3330" uniqueCount="570">
  <si>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</si>
  <si>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</si>
  <si>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</si>
  <si>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</si>
  <si>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</si>
  <si>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</si>
  <si>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</si>
  <si>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</si>
  <si>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</si>
  <si>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</si>
  <si>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</si>
  <si>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</si>
  <si>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</si>
  <si>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</si>
  <si>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</si>
  <si>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</si>
  <si>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</si>
  <si>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</si>
  <si>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</si>
  <si>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</si>
  <si>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</si>
  <si>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</si>
  <si>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</si>
  <si>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</si>
  <si>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</si>
  <si>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</si>
  <si>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</si>
  <si>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</si>
  <si>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</si>
  <si>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</si>
  <si>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</si>
  <si>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</si>
  <si>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</si>
  <si>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</si>
  <si>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</si>
  <si>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</si>
  <si>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</si>
  <si>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</si>
  <si>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</si>
  <si>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</si>
  <si>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</si>
  <si>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</si>
  <si>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</si>
  <si>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</si>
  <si>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</si>
  <si>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</si>
  <si>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</si>
  <si>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</si>
  <si>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</si>
  <si>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</si>
  <si>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</si>
  <si>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</si>
  <si>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</si>
  <si>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</si>
  <si>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</si>
  <si>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</si>
  <si>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</si>
  <si>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</si>
  <si>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</si>
  <si>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</si>
  <si>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</si>
  <si>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</si>
  <si>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</si>
  <si>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</si>
  <si>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</si>
  <si>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</si>
  <si>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</si>
  <si>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</si>
  <si>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</si>
  <si>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</si>
  <si>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</si>
  <si>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</si>
  <si>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</si>
  <si>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</si>
  <si>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</si>
  <si>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</si>
  <si>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</si>
  <si>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</si>
  <si>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</si>
  <si>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</si>
  <si>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</si>
  <si>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</si>
  <si>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</si>
  <si>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</si>
  <si>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</si>
  <si>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</si>
  <si>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</si>
  <si>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</si>
  <si>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</si>
  <si>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</si>
  <si>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</si>
  <si>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</si>
  <si>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</si>
  <si>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</si>
  <si>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</si>
  <si>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</si>
  <si>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</si>
  <si>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</si>
  <si>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</si>
  <si>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</si>
  <si>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</si>
  <si>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</si>
  <si>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</si>
  <si>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</si>
  <si>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</si>
  <si>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</si>
  <si>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</si>
  <si>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</si>
  <si>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</si>
  <si>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</si>
  <si>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</si>
  <si>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</si>
  <si>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</si>
  <si>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</si>
  <si>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</si>
  <si>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</si>
  <si>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</si>
  <si>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</si>
  <si>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</si>
  <si>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</si>
  <si>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</si>
  <si>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</si>
  <si>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</si>
  <si>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</si>
  <si>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</si>
  <si>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</si>
  <si>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</si>
  <si>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</si>
  <si>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</si>
  <si>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</si>
  <si>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</si>
  <si>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</si>
  <si>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</si>
  <si>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</si>
  <si>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</si>
  <si>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</si>
  <si>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</si>
  <si>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</si>
  <si>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</si>
  <si>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</si>
  <si>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</si>
  <si>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</si>
  <si>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</si>
  <si>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</si>
  <si>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</si>
  <si>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</si>
  <si>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</si>
  <si>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</si>
  <si>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</si>
  <si>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</si>
  <si>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</si>
  <si>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</si>
  <si>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</si>
  <si>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</si>
  <si>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</si>
  <si>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</si>
  <si>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</si>
  <si>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</si>
  <si>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</si>
  <si>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</si>
  <si>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</si>
  <si>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</si>
  <si>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</si>
  <si>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</si>
  <si>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</si>
  <si>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</si>
  <si>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</si>
  <si>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</si>
  <si>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</si>
  <si>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</si>
  <si>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</si>
  <si>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</si>
  <si>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</si>
  <si>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</si>
  <si>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</si>
  <si>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</si>
  <si>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</si>
  <si>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</si>
  <si>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</si>
  <si>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</si>
  <si>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</si>
  <si>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</si>
  <si>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</si>
  <si>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</si>
  <si>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</si>
  <si>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</si>
  <si>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</si>
  <si>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</si>
  <si>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</si>
  <si>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</si>
  <si>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</si>
  <si>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</si>
  <si>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</si>
  <si>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</si>
  <si>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</si>
  <si>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</si>
  <si>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</si>
  <si>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</si>
  <si>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</si>
  <si>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</si>
  <si>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</si>
  <si>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</si>
  <si>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</si>
  <si>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</si>
  <si>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</si>
  <si>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</si>
  <si>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</si>
  <si>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</si>
  <si>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</si>
  <si>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</si>
  <si>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</si>
  <si>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</si>
  <si>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</si>
  <si>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</si>
  <si>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</si>
  <si>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</si>
  <si>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</si>
  <si>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</si>
  <si>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</si>
  <si>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</si>
  <si>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</si>
  <si>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</si>
  <si>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</si>
  <si>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</si>
  <si>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</si>
  <si>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</si>
  <si>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</si>
  <si>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</si>
  <si>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</si>
  <si>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</si>
  <si>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</si>
  <si>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</si>
  <si>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</si>
  <si>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</si>
  <si>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</si>
  <si>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</si>
  <si>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</si>
  <si>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</si>
  <si>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</si>
  <si>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</si>
  <si>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</si>
  <si>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</si>
  <si>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</si>
  <si>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</si>
  <si>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</si>
  <si>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</si>
  <si>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</si>
  <si>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</si>
  <si>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</si>
  <si>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</si>
  <si>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</si>
  <si>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</si>
  <si>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</si>
  <si>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</si>
  <si>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</si>
  <si>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</si>
  <si>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</si>
  <si>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</si>
  <si>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</si>
  <si>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</si>
  <si>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</si>
  <si>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</si>
  <si>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</si>
  <si>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</si>
  <si>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</si>
  <si>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</si>
  <si>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</si>
  <si>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</si>
  <si>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</si>
  <si>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</si>
  <si>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</si>
  <si>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</si>
  <si>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</si>
  <si>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</si>
  <si>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</si>
  <si>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</si>
  <si>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</si>
  <si>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</si>
  <si>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</si>
  <si>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</si>
  <si>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</si>
  <si>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</si>
  <si>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</si>
  <si>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</si>
  <si>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</si>
  <si>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</si>
  <si>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</si>
  <si>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</si>
  <si>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</si>
  <si>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</si>
  <si>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</si>
  <si>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</si>
  <si>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</si>
  <si>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</si>
  <si>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</si>
  <si>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</si>
  <si>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</si>
  <si>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</si>
  <si>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</si>
  <si>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</si>
  <si>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</si>
  <si>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</si>
  <si>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</si>
  <si>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</si>
  <si>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</si>
  <si>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</si>
  <si>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</si>
  <si>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</si>
  <si>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</si>
  <si>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</si>
  <si>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</si>
  <si>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</si>
  <si>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</si>
  <si>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</si>
  <si>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</si>
  <si>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</si>
  <si>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</si>
  <si>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</si>
  <si>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</si>
  <si>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</si>
  <si>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</si>
  <si>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</si>
  <si>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</si>
  <si>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</si>
  <si>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</si>
  <si>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</si>
  <si>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</si>
  <si>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</si>
  <si>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</si>
  <si>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</si>
  <si>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</si>
  <si>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</si>
  <si>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</si>
  <si>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</si>
  <si>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</si>
  <si>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</si>
  <si>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</si>
  <si>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</si>
  <si>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</si>
  <si>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</si>
  <si>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</si>
  <si>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</si>
  <si>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</si>
  <si>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</si>
  <si>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</si>
  <si>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</si>
  <si>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</si>
  <si>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</si>
  <si>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</si>
  <si>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</si>
  <si>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</si>
  <si>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</si>
  <si>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</si>
  <si>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</si>
  <si>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</si>
  <si>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</si>
  <si>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</si>
  <si>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</si>
  <si>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</si>
  <si>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</si>
  <si>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</si>
  <si>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</si>
  <si>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</si>
  <si>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</si>
  <si>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</si>
  <si>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</si>
  <si>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</si>
  <si>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</si>
  <si>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</si>
  <si>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</si>
  <si>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</si>
  <si>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</si>
  <si>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</si>
  <si>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</si>
  <si>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</si>
  <si>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</si>
  <si>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</si>
  <si>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</si>
  <si>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</si>
  <si>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</si>
  <si>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</si>
  <si>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</si>
  <si>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</si>
  <si>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</si>
  <si>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</si>
  <si>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</si>
  <si>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</si>
  <si>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</si>
  <si>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</si>
  <si>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</si>
  <si>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</si>
  <si>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</si>
  <si>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</si>
  <si>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</si>
  <si>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</si>
  <si>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</si>
  <si>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</si>
  <si>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</si>
  <si>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</si>
  <si>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</si>
  <si>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</si>
  <si>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</si>
  <si>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</si>
  <si>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</si>
  <si>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</si>
  <si>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</si>
  <si>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</si>
  <si>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</si>
  <si>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</si>
  <si>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</si>
  <si>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</si>
  <si>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</si>
  <si>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</si>
  <si>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</si>
  <si>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</si>
  <si>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</si>
  <si>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</si>
  <si>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</si>
  <si>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</si>
  <si>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</si>
  <si>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</si>
  <si>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</si>
  <si>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</si>
  <si>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</si>
  <si>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</si>
  <si>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</si>
  <si>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</si>
  <si>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</si>
  <si>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</si>
  <si>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</si>
  <si>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</si>
  <si>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</si>
  <si>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</si>
  <si>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</si>
  <si>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</si>
  <si>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</si>
  <si>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</si>
  <si>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</si>
  <si>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</si>
  <si>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</si>
  <si>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</si>
  <si>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</si>
  <si>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</si>
  <si>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</si>
  <si>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</si>
  <si>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</si>
  <si>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</si>
  <si>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</si>
  <si>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</si>
  <si>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</si>
  <si>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</si>
  <si>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</si>
  <si>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</si>
  <si>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</si>
  <si>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</si>
  <si>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</si>
  <si>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</si>
  <si>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</si>
  <si>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</si>
  <si>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</si>
  <si>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</si>
  <si>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</si>
  <si>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</si>
  <si>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</si>
  <si>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</si>
  <si>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</si>
  <si>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</si>
  <si>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</si>
  <si>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</si>
  <si>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</si>
  <si>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</si>
  <si>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</si>
  <si>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</si>
  <si>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</si>
  <si>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</si>
  <si>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</si>
  <si>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</si>
  <si>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</si>
  <si>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</si>
  <si>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</si>
  <si>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</si>
  <si>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</si>
  <si>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</si>
  <si>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</si>
  <si>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</si>
  <si>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</si>
  <si>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</si>
  <si>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</si>
  <si>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</si>
  <si>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</si>
  <si>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</si>
  <si>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</si>
  <si>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</si>
  <si>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</si>
  <si>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</si>
  <si>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</si>
  <si>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</si>
  <si>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</si>
  <si>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</si>
  <si>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</si>
  <si>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</si>
  <si>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</si>
  <si>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</si>
  <si>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</si>
  <si>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</si>
  <si>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</si>
  <si>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</si>
  <si>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</si>
  <si>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</si>
  <si>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</si>
  <si>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</si>
  <si>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</si>
  <si>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</si>
  <si>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</si>
  <si>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</si>
  <si>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</si>
  <si>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</si>
  <si>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</si>
  <si>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</si>
  <si>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</si>
  <si>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Branche des Risques Professionnelles</t>
  </si>
  <si>
    <t>Pension d'invalidité</t>
  </si>
  <si>
    <t>Branche des Risques Professionnels</t>
  </si>
  <si>
    <t>Branche des Prestations aux familles</t>
  </si>
  <si>
    <t>Branche des Pensions</t>
  </si>
  <si>
    <t>CNSS</t>
  </si>
  <si>
    <t>deocnss@gmail.com</t>
  </si>
  <si>
    <t>Direction des Etudes et Organisation</t>
  </si>
  <si>
    <t>Action sanitaire et sociale</t>
  </si>
  <si>
    <r>
      <rPr>
        <b/>
        <sz val="10"/>
        <rFont val="Arial Narrow"/>
        <family val="2"/>
      </rPr>
      <t xml:space="preserve">Nombre de personnes ayant contribué </t>
    </r>
    <r>
      <rPr>
        <sz val="10"/>
        <rFont val="Arial Narrow"/>
        <family val="2"/>
      </rPr>
      <t>au régime durant de la période de référence (le cas échéant)</t>
    </r>
  </si>
  <si>
    <t>Congo DRC (Monnaie locale : CDF)</t>
  </si>
  <si>
    <t>Pension de retraite</t>
  </si>
  <si>
    <t>Pension des survivants</t>
  </si>
  <si>
    <t>Allocations de vieillesse</t>
  </si>
  <si>
    <t xml:space="preserve">Allocations des survivants </t>
  </si>
  <si>
    <t xml:space="preserve">Pension de retraite anticipée </t>
  </si>
  <si>
    <t xml:space="preserve">frais funéraires </t>
  </si>
  <si>
    <t>CDF</t>
  </si>
  <si>
    <t>paiement unique</t>
  </si>
  <si>
    <t>Paiement unique</t>
  </si>
  <si>
    <t>180 mois</t>
  </si>
  <si>
    <t>60,65</t>
  </si>
  <si>
    <t>Rente ou allocation d'incapacité</t>
  </si>
  <si>
    <t xml:space="preserve">rentes de survivants </t>
  </si>
  <si>
    <t xml:space="preserve">indemnité journalière </t>
  </si>
  <si>
    <t xml:space="preserve">allocation des frais funéraires </t>
  </si>
  <si>
    <t>frais de réadaptation fonctionnelle  ou de reclassement de la victime</t>
  </si>
  <si>
    <t>Travailleurs du secteur public, Travailleurs du secteur privé, Employés rémunérés / travailleurs salariés</t>
  </si>
  <si>
    <t>assistance médicale, chirurgicale et soins dentaires</t>
  </si>
  <si>
    <t>fourniture des produits pharmaceutiques</t>
  </si>
  <si>
    <t>transport de la victime</t>
  </si>
  <si>
    <t>fourniture, entretien et renouvellement des appareils prophèse et d'orthopédie</t>
  </si>
  <si>
    <t>lunettes, soins infirmiers et visites à domicile</t>
  </si>
  <si>
    <t>réadaptation fonctionnelle ou reclassement de la victime.</t>
  </si>
  <si>
    <t>12 mois</t>
  </si>
  <si>
    <t>allocations prénatales</t>
  </si>
  <si>
    <t>allocation de maternité</t>
  </si>
  <si>
    <t>allocations familiales</t>
  </si>
  <si>
    <t>indemnité journalière de maternité</t>
  </si>
  <si>
    <t>3è,5è,8è mois</t>
  </si>
  <si>
    <t>périodique</t>
  </si>
  <si>
    <t>3 mois</t>
  </si>
  <si>
    <t>Rapport annuel d'activités de la CNSS, 2019.</t>
  </si>
  <si>
    <t>pension de vieillesse</t>
  </si>
  <si>
    <t>20 193 309,00</t>
  </si>
  <si>
    <t>26 754 500,00</t>
  </si>
  <si>
    <t>109 969 111,00</t>
  </si>
  <si>
    <t>33 203 279 500,00</t>
  </si>
  <si>
    <t>ESS refait par MD en consultant les commentaires. Données à dicuter en profondeur avec la CNSS</t>
  </si>
  <si>
    <t>Un facteur de 3.17 enfants par ménage est appliqué aux benéficiare d'allocation familliales de la branche des Prest familiales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</si>
</sst>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0"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8"/>
      <name val="Calibri"/>
      <family val="2"/>
      <scheme val="minor"/>
    </font>
    <font>
      <sz val="10"/>
      <color rgb="FFFF0000"/>
      <name val="Arial Narrow"/>
      <family val="2"/>
    </font>
  </fonts>
  <fills count="22">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
      <patternFill patternType="solid">
        <fgColor rgb="FFFF0000"/>
        <bgColor indexed="64"/>
      </patternFill>
    </fill>
    <fill>
      <patternFill patternType="solid">
        <fgColor rgb="FFFF0000"/>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8">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3" fontId="21" fillId="20" borderId="3" xfId="0" applyNumberFormat="1" applyFont="1" applyFill="1" applyBorder="1" applyAlignment="1" applyProtection="1">
      <alignment horizontal="right" vertical="top" wrapText="1"/>
      <protection locked="0"/>
    </xf>
    <xf numFmtId="49" fontId="21" fillId="20" borderId="3" xfId="0" applyNumberFormat="1" applyFont="1" applyFill="1" applyBorder="1" applyAlignment="1" applyProtection="1">
      <alignment horizontal="left" vertical="top" wrapText="1"/>
      <protection locked="0"/>
    </xf>
    <xf numFmtId="3" fontId="21" fillId="20" borderId="12" xfId="1" applyNumberFormat="1" applyFont="1" applyFill="1" applyBorder="1" applyAlignment="1" applyProtection="1">
      <alignment horizontal="left" vertical="top" wrapText="1"/>
      <protection locked="0"/>
    </xf>
    <xf numFmtId="3" fontId="21" fillId="20" borderId="3" xfId="1"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vertical="top" wrapText="1"/>
      <protection locked="0"/>
    </xf>
    <xf numFmtId="0" fontId="59" fillId="3" borderId="0" xfId="0" applyFont="1" applyFill="1" applyAlignment="1">
      <alignment horizontal="left" vertical="top"/>
    </xf>
    <xf numFmtId="0" fontId="51"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xf numFmtId="0" fontId="26" fillId="20" borderId="0" xfId="0" applyFont="1" applyFill="1"/>
    <xf numFmtId="3" fontId="59" fillId="21" borderId="4" xfId="1" applyNumberFormat="1" applyFont="1" applyFill="1" applyBorder="1" applyAlignment="1" applyProtection="1">
      <alignment horizontal="right" vertical="top" wrapText="1"/>
      <protection locked="0"/>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22">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97699</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socprodata@ilo.org" TargetMode="External"/><Relationship Id="rId7"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deocnss@gmail.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40" zoomScaleNormal="140" workbookViewId="0">
      <pane xSplit="2" ySplit="5" topLeftCell="V6" activePane="bottomRight" state="frozen"/>
      <selection pane="topRight" activeCell="C1" sqref="C1"/>
      <selection pane="bottomLeft" activeCell="A6" sqref="A6"/>
      <selection pane="bottomRight" activeCell="AA6" sqref="AA6"/>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530</v>
      </c>
      <c r="C1" s="74" t="s">
        <v>178</v>
      </c>
      <c r="D1" s="152" t="s">
        <v>527</v>
      </c>
      <c r="E1" s="240" t="s">
        <v>514</v>
      </c>
      <c r="F1" s="240"/>
      <c r="G1" s="240"/>
      <c r="H1" s="240"/>
      <c r="I1" s="240"/>
      <c r="J1" s="240"/>
      <c r="K1" s="240"/>
      <c r="L1" s="240"/>
      <c r="M1" s="240"/>
      <c r="N1" s="240"/>
      <c r="O1" s="240"/>
      <c r="P1" s="240"/>
      <c r="Q1" s="240"/>
      <c r="R1" s="240"/>
      <c r="S1" s="240"/>
      <c r="T1" s="240"/>
      <c r="U1" s="240"/>
      <c r="V1" s="240"/>
      <c r="W1" s="266" t="s">
        <v>569</v>
      </c>
      <c r="X1" s="66"/>
      <c r="Y1" s="66"/>
      <c r="Z1" s="66"/>
      <c r="AA1" s="66"/>
      <c r="AB1" s="66"/>
      <c r="AC1" s="59"/>
      <c r="AD1" s="59"/>
      <c r="AE1" s="59"/>
      <c r="AF1" s="80"/>
      <c r="AG1" s="59"/>
      <c r="AH1" s="59"/>
      <c r="AI1" s="59"/>
      <c r="AJ1" s="59"/>
    </row>
    <row r="2" spans="1:37" ht="14.4" x14ac:dyDescent="0.3">
      <c r="A2" s="76" t="s">
        <v>212</v>
      </c>
      <c r="B2" s="221">
        <v>2023</v>
      </c>
      <c r="C2" s="74" t="s">
        <v>179</v>
      </c>
      <c r="D2" s="218" t="s">
        <v>526</v>
      </c>
      <c r="E2" s="66"/>
      <c r="F2" s="66"/>
      <c r="G2" s="66"/>
      <c r="H2" s="66"/>
      <c r="I2" s="66"/>
      <c r="J2" s="66"/>
      <c r="K2" s="66"/>
      <c r="L2" s="66"/>
      <c r="M2" s="66"/>
      <c r="N2" s="66"/>
      <c r="O2" s="66"/>
      <c r="P2" s="66"/>
      <c r="Q2" s="66"/>
      <c r="R2" s="66"/>
      <c r="S2" s="66"/>
      <c r="T2" s="66"/>
      <c r="U2" s="66"/>
      <c r="V2" s="66"/>
      <c r="W2" s="239" t="s">
        <v>568</v>
      </c>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41" t="s">
        <v>216</v>
      </c>
      <c r="F4" s="241" t="s">
        <v>217</v>
      </c>
      <c r="G4" s="241" t="s">
        <v>218</v>
      </c>
      <c r="H4" s="241" t="s">
        <v>219</v>
      </c>
      <c r="I4" s="241" t="s">
        <v>220</v>
      </c>
      <c r="J4" s="241" t="s">
        <v>221</v>
      </c>
      <c r="K4" s="241" t="s">
        <v>222</v>
      </c>
      <c r="L4" s="241" t="s">
        <v>223</v>
      </c>
      <c r="M4" s="241" t="s">
        <v>224</v>
      </c>
      <c r="N4" s="241" t="s">
        <v>225</v>
      </c>
      <c r="O4" s="241" t="s">
        <v>226</v>
      </c>
      <c r="P4" s="241" t="s">
        <v>227</v>
      </c>
      <c r="Q4" s="241" t="s">
        <v>228</v>
      </c>
      <c r="R4" s="241" t="s">
        <v>229</v>
      </c>
      <c r="S4" s="241" t="s">
        <v>230</v>
      </c>
      <c r="T4" s="241" t="s">
        <v>231</v>
      </c>
      <c r="U4" s="241" t="s">
        <v>232</v>
      </c>
      <c r="V4" s="141" t="s">
        <v>233</v>
      </c>
      <c r="W4" s="142" t="s">
        <v>234</v>
      </c>
      <c r="X4" s="243" t="s">
        <v>529</v>
      </c>
      <c r="Y4" s="244"/>
      <c r="Z4" s="245"/>
      <c r="AA4" s="246" t="s">
        <v>325</v>
      </c>
      <c r="AB4" s="247"/>
      <c r="AC4" s="248"/>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42"/>
      <c r="F5" s="242"/>
      <c r="G5" s="242"/>
      <c r="H5" s="242"/>
      <c r="I5" s="242"/>
      <c r="J5" s="242"/>
      <c r="K5" s="242"/>
      <c r="L5" s="242"/>
      <c r="M5" s="242"/>
      <c r="N5" s="242"/>
      <c r="O5" s="242"/>
      <c r="P5" s="242"/>
      <c r="Q5" s="242"/>
      <c r="R5" s="242"/>
      <c r="S5" s="242"/>
      <c r="T5" s="242"/>
      <c r="U5" s="242"/>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3">
      <c r="A6" s="170" t="s">
        <v>246</v>
      </c>
      <c r="B6" s="172" t="s">
        <v>523</v>
      </c>
      <c r="C6" s="172" t="s">
        <v>523</v>
      </c>
      <c r="D6" s="173" t="s">
        <v>525</v>
      </c>
      <c r="E6" s="173"/>
      <c r="F6" s="173"/>
      <c r="G6" s="173"/>
      <c r="H6" s="173"/>
      <c r="I6" s="173" t="s">
        <v>10</v>
      </c>
      <c r="J6" s="173" t="s">
        <v>10</v>
      </c>
      <c r="K6" s="173"/>
      <c r="L6" s="173"/>
      <c r="M6" s="173"/>
      <c r="N6" s="173"/>
      <c r="O6" s="173"/>
      <c r="P6" s="173"/>
      <c r="Q6" s="173"/>
      <c r="R6" s="173"/>
      <c r="S6" s="173"/>
      <c r="T6" s="173"/>
      <c r="U6" s="173"/>
      <c r="V6" s="173" t="s">
        <v>396</v>
      </c>
      <c r="W6" s="173" t="s">
        <v>422</v>
      </c>
      <c r="X6" s="238">
        <v>578272</v>
      </c>
      <c r="Y6" s="181"/>
      <c r="Z6" s="181"/>
      <c r="AA6" s="267">
        <f>SUM('Régime 1'!L5:L8)</f>
        <v>1257284.83</v>
      </c>
      <c r="AB6" s="181"/>
      <c r="AC6" s="181"/>
      <c r="AD6" s="173" t="s">
        <v>432</v>
      </c>
      <c r="AE6" s="173" t="s">
        <v>432</v>
      </c>
      <c r="AF6" s="173" t="s">
        <v>443</v>
      </c>
      <c r="AG6" s="222"/>
      <c r="AH6" s="184"/>
      <c r="AI6" s="223">
        <v>633611071332.92004</v>
      </c>
      <c r="AJ6" s="174"/>
      <c r="AK6" s="81"/>
    </row>
    <row r="7" spans="1:37" s="95" customFormat="1" ht="13.8" customHeight="1" x14ac:dyDescent="0.3">
      <c r="A7" s="171" t="s">
        <v>247</v>
      </c>
      <c r="B7" s="175" t="s">
        <v>520</v>
      </c>
      <c r="C7" s="175" t="s">
        <v>522</v>
      </c>
      <c r="D7" s="176" t="s">
        <v>525</v>
      </c>
      <c r="E7" s="176"/>
      <c r="F7" s="176"/>
      <c r="G7" s="176"/>
      <c r="H7" s="176"/>
      <c r="I7" s="176"/>
      <c r="J7" s="176"/>
      <c r="K7" s="176"/>
      <c r="L7" s="176"/>
      <c r="M7" s="176"/>
      <c r="N7" s="176" t="s">
        <v>10</v>
      </c>
      <c r="O7" s="176"/>
      <c r="P7" s="176"/>
      <c r="Q7" s="176"/>
      <c r="R7" s="176"/>
      <c r="S7" s="176"/>
      <c r="T7" s="176"/>
      <c r="U7" s="176"/>
      <c r="V7" s="173" t="s">
        <v>396</v>
      </c>
      <c r="W7" s="173" t="s">
        <v>422</v>
      </c>
      <c r="X7" s="238">
        <v>578272</v>
      </c>
      <c r="Y7" s="182"/>
      <c r="Z7" s="182"/>
      <c r="AA7" s="220">
        <v>2785</v>
      </c>
      <c r="AB7" s="182"/>
      <c r="AC7" s="182"/>
      <c r="AD7" s="173" t="s">
        <v>432</v>
      </c>
      <c r="AE7" s="173" t="s">
        <v>432</v>
      </c>
      <c r="AF7" s="173" t="s">
        <v>443</v>
      </c>
      <c r="AG7" s="222"/>
      <c r="AH7" s="185"/>
      <c r="AI7" s="223">
        <v>146217939538.37</v>
      </c>
      <c r="AJ7" s="177"/>
      <c r="AK7" s="81"/>
    </row>
    <row r="8" spans="1:37" s="81" customFormat="1" x14ac:dyDescent="0.3">
      <c r="A8" s="170" t="s">
        <v>248</v>
      </c>
      <c r="B8" s="172" t="s">
        <v>524</v>
      </c>
      <c r="C8" s="172" t="s">
        <v>524</v>
      </c>
      <c r="D8" s="173" t="s">
        <v>525</v>
      </c>
      <c r="E8" s="173" t="s">
        <v>10</v>
      </c>
      <c r="F8" s="173" t="s">
        <v>10</v>
      </c>
      <c r="G8" s="173" t="s">
        <v>10</v>
      </c>
      <c r="H8" s="173"/>
      <c r="I8" s="173"/>
      <c r="J8" s="173"/>
      <c r="K8" s="173"/>
      <c r="L8" s="173"/>
      <c r="M8" s="173"/>
      <c r="N8" s="173"/>
      <c r="O8" s="173"/>
      <c r="P8" s="173"/>
      <c r="Q8" s="173"/>
      <c r="R8" s="173"/>
      <c r="S8" s="173"/>
      <c r="T8" s="173"/>
      <c r="U8" s="173"/>
      <c r="V8" s="173" t="s">
        <v>396</v>
      </c>
      <c r="W8" s="173" t="s">
        <v>422</v>
      </c>
      <c r="X8" s="238">
        <v>578272</v>
      </c>
      <c r="Y8" s="181"/>
      <c r="Z8" s="181"/>
      <c r="AA8" s="219">
        <v>75507</v>
      </c>
      <c r="AB8" s="181"/>
      <c r="AC8" s="181"/>
      <c r="AD8" s="173" t="s">
        <v>432</v>
      </c>
      <c r="AE8" s="173" t="s">
        <v>432</v>
      </c>
      <c r="AF8" s="173" t="s">
        <v>443</v>
      </c>
      <c r="AG8" s="222"/>
      <c r="AH8" s="184"/>
      <c r="AI8" s="223">
        <v>974786263589.10999</v>
      </c>
      <c r="AJ8" s="174"/>
    </row>
    <row r="9" spans="1:37" s="95" customFormat="1" ht="18.600000000000001" customHeight="1" x14ac:dyDescent="0.3">
      <c r="A9" s="171" t="s">
        <v>249</v>
      </c>
      <c r="B9" s="175" t="s">
        <v>528</v>
      </c>
      <c r="C9" s="175"/>
      <c r="D9" s="176" t="s">
        <v>525</v>
      </c>
      <c r="E9" s="176"/>
      <c r="F9" s="176"/>
      <c r="G9" s="176"/>
      <c r="H9" s="176"/>
      <c r="I9" s="176"/>
      <c r="J9" s="176"/>
      <c r="K9" s="176"/>
      <c r="L9" s="176"/>
      <c r="M9" s="176"/>
      <c r="N9" s="176"/>
      <c r="O9" s="176"/>
      <c r="P9" s="176"/>
      <c r="Q9" s="176"/>
      <c r="R9" s="176"/>
      <c r="S9" s="176"/>
      <c r="T9" s="176"/>
      <c r="U9" s="176" t="s">
        <v>10</v>
      </c>
      <c r="V9" s="176" t="s">
        <v>397</v>
      </c>
      <c r="W9" s="176"/>
      <c r="X9" s="182"/>
      <c r="Y9" s="182"/>
      <c r="Z9" s="182"/>
      <c r="AA9" s="220">
        <v>849</v>
      </c>
      <c r="AB9" s="182"/>
      <c r="AC9" s="182"/>
      <c r="AD9" s="173" t="s">
        <v>432</v>
      </c>
      <c r="AE9" s="173" t="s">
        <v>432</v>
      </c>
      <c r="AF9" s="176" t="s">
        <v>452</v>
      </c>
      <c r="AG9" s="224"/>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conditionalFormatting sqref="A10:AJ45 A6:W8 Y6:Z8 A9:Z9 AB6:AH8 AJ6:AJ8 AB9:AJ9">
    <cfRule type="expression" dxfId="221" priority="18">
      <formula>MOD(ROW(),2)=0</formula>
    </cfRule>
    <cfRule type="expression" dxfId="220" priority="43">
      <formula>MOD(ROW(),2)=1</formula>
    </cfRule>
  </conditionalFormatting>
  <conditionalFormatting sqref="AA6:AA9">
    <cfRule type="expression" dxfId="219" priority="13">
      <formula>MOD(ROW(),2)=0</formula>
    </cfRule>
    <cfRule type="expression" dxfId="218" priority="14">
      <formula>MOD(ROW(),2)=1</formula>
    </cfRule>
  </conditionalFormatting>
  <conditionalFormatting sqref="AI6:AI8">
    <cfRule type="expression" dxfId="217" priority="11">
      <formula>MOD(ROW(),2)=0</formula>
    </cfRule>
    <cfRule type="expression" dxfId="216" priority="12">
      <formula>MOD(ROW(),2)=1</formula>
    </cfRule>
  </conditionalFormatting>
  <conditionalFormatting sqref="X6:X7">
    <cfRule type="expression" dxfId="215" priority="8">
      <formula>MOD(ROW(),2)=0</formula>
    </cfRule>
    <cfRule type="expression" dxfId="214" priority="9">
      <formula>MOD(ROW(),2)=1</formula>
    </cfRule>
  </conditionalFormatting>
  <conditionalFormatting sqref="X8">
    <cfRule type="expression" dxfId="213" priority="2">
      <formula>MOD(ROW(),2)=0</formula>
    </cfRule>
    <cfRule type="expression" dxfId="212" priority="3">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E6:AE9 AD6:AD45" xr:uid="{00000000-0002-0000-0100-000006000000}">
      <formula1>LIST_PPrv</formula1>
    </dataValidation>
    <dataValidation type="list" allowBlank="1" showErrorMessage="1" prompt="Please select from the dropdown list" sqref="AE10: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 ref="D2" r:id="rId4" xr:uid="{33C7E8DF-FFCA-4286-ACDB-88731AC0B98E}"/>
  </hyperlinks>
  <pageMargins left="0.25" right="0.25" top="0.75" bottom="0.75" header="0.3" footer="0.3"/>
  <pageSetup paperSize="8" scale="55" fitToHeight="0" orientation="landscape" r:id="rId5"/>
  <drawing r:id="rId6"/>
  <legacyDrawing r:id="rId7"/>
  <extLst>
    <ext xmlns:x14="http://schemas.microsoft.com/office/spreadsheetml/2009/9/main" uri="{78C0D931-6437-407d-A8EE-F0AAD7539E65}">
      <x14:conditionalFormattings>
        <x14:conditionalFormatting xmlns:xm="http://schemas.microsoft.com/office/excel/2006/main">
          <x14:cfRule type="expression" priority="17" id="{B02D565D-F825-4CF2-AC97-E9AF5112121B}">
            <xm:f>$V6=HID_dropdown!$A$3</xm:f>
            <x14:dxf>
              <fill>
                <patternFill>
                  <bgColor theme="1"/>
                </patternFill>
              </fill>
            </x14:dxf>
          </x14:cfRule>
          <xm:sqref>W9:Z47 W6:W8 Y6:Z8</xm:sqref>
        </x14:conditionalFormatting>
        <x14:conditionalFormatting xmlns:xm="http://schemas.microsoft.com/office/excel/2006/main">
          <x14:cfRule type="expression" priority="7" id="{E73B5E1C-FABE-4EE6-B102-317A7BF10A70}">
            <xm:f>$V6=HID_dropdown!$A$3</xm:f>
            <x14:dxf>
              <fill>
                <patternFill>
                  <bgColor theme="1"/>
                </patternFill>
              </fill>
            </x14:dxf>
          </x14:cfRule>
          <xm:sqref>X6:X7</xm:sqref>
        </x14:conditionalFormatting>
        <x14:conditionalFormatting xmlns:xm="http://schemas.microsoft.com/office/excel/2006/main">
          <x14:cfRule type="expression" priority="1" id="{A593FBF0-1403-4093-892F-4CC72B830CB2}">
            <xm:f>$V8=HID_dropdown!$A$3</xm:f>
            <x14:dxf>
              <fill>
                <patternFill>
                  <bgColor theme="1"/>
                </patternFill>
              </fill>
            </x14:dxf>
          </x14:cfRule>
          <xm:sqref>X8</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F1" sqref="F1"/>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19" width="12.5546875" style="62" bestFit="1" customWidth="1"/>
    <col min="20"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Prestations aux familles</v>
      </c>
      <c r="C1" s="163" t="str">
        <f ca="1">IF(OFFSET('Inventaire des régimes'!C5,(_xlfn.SHEET()-2),0)=0,"Name of Scheme in English", OFFSET('Inventaire des régimes'!C5,(_xlfn.SHEET()-2),0))</f>
        <v>Branche des Prestations aux familles</v>
      </c>
      <c r="D1" s="164">
        <f>IF('Inventaire des régimes'!B2=0, "Année", 'Inventaire des régimes'!B2)</f>
        <v>2023</v>
      </c>
      <c r="E1" s="65"/>
      <c r="F1" s="266" t="s">
        <v>569</v>
      </c>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x14ac:dyDescent="0.3">
      <c r="A5" s="96" t="s">
        <v>353</v>
      </c>
      <c r="B5" s="187" t="s">
        <v>555</v>
      </c>
      <c r="C5" s="187" t="s">
        <v>555</v>
      </c>
      <c r="D5" s="189" t="s">
        <v>405</v>
      </c>
      <c r="E5" s="190" t="s">
        <v>411</v>
      </c>
      <c r="F5" s="189" t="s">
        <v>417</v>
      </c>
      <c r="G5" s="188" t="s">
        <v>421</v>
      </c>
      <c r="H5" s="188" t="s">
        <v>396</v>
      </c>
      <c r="I5" s="236">
        <v>578272</v>
      </c>
      <c r="J5" s="204"/>
      <c r="K5" s="204"/>
      <c r="L5" s="225">
        <v>531</v>
      </c>
      <c r="M5" s="206"/>
      <c r="N5" s="206"/>
      <c r="O5" s="191" t="s">
        <v>425</v>
      </c>
      <c r="P5" s="192" t="s">
        <v>430</v>
      </c>
      <c r="Q5" s="191"/>
      <c r="R5" s="191" t="s">
        <v>564</v>
      </c>
      <c r="S5" s="191" t="s">
        <v>559</v>
      </c>
      <c r="T5" s="193" t="s">
        <v>554</v>
      </c>
      <c r="U5" s="193"/>
      <c r="V5" s="193"/>
      <c r="W5" s="194"/>
      <c r="X5" s="194"/>
      <c r="Y5" s="193"/>
      <c r="Z5" s="202"/>
      <c r="AA5" s="188"/>
      <c r="AB5" s="97"/>
    </row>
    <row r="6" spans="1:28" s="63" customFormat="1" ht="16.8" customHeight="1" x14ac:dyDescent="0.3">
      <c r="A6" s="96" t="s">
        <v>354</v>
      </c>
      <c r="B6" s="195" t="s">
        <v>556</v>
      </c>
      <c r="C6" s="195" t="s">
        <v>556</v>
      </c>
      <c r="D6" s="197" t="s">
        <v>405</v>
      </c>
      <c r="E6" s="190" t="s">
        <v>411</v>
      </c>
      <c r="F6" s="189" t="s">
        <v>417</v>
      </c>
      <c r="G6" s="188" t="s">
        <v>421</v>
      </c>
      <c r="H6" s="188" t="s">
        <v>396</v>
      </c>
      <c r="I6" s="237">
        <v>578272</v>
      </c>
      <c r="J6" s="207"/>
      <c r="K6" s="207"/>
      <c r="L6" s="226">
        <v>167</v>
      </c>
      <c r="M6" s="208"/>
      <c r="N6" s="208"/>
      <c r="O6" s="191" t="s">
        <v>425</v>
      </c>
      <c r="P6" s="192" t="s">
        <v>430</v>
      </c>
      <c r="Q6" s="192"/>
      <c r="R6" s="192" t="s">
        <v>565</v>
      </c>
      <c r="S6" s="192" t="s">
        <v>538</v>
      </c>
      <c r="T6" s="193" t="s">
        <v>554</v>
      </c>
      <c r="U6" s="200"/>
      <c r="V6" s="200"/>
      <c r="W6" s="201"/>
      <c r="X6" s="201"/>
      <c r="Y6" s="200"/>
      <c r="Z6" s="203"/>
      <c r="AA6" s="196"/>
      <c r="AB6" s="97"/>
    </row>
    <row r="7" spans="1:28" s="63" customFormat="1" x14ac:dyDescent="0.3">
      <c r="A7" s="96" t="s">
        <v>355</v>
      </c>
      <c r="B7" s="195" t="s">
        <v>557</v>
      </c>
      <c r="C7" s="195" t="s">
        <v>557</v>
      </c>
      <c r="D7" s="197" t="s">
        <v>221</v>
      </c>
      <c r="E7" s="190" t="s">
        <v>411</v>
      </c>
      <c r="F7" s="189" t="s">
        <v>417</v>
      </c>
      <c r="G7" s="188" t="s">
        <v>421</v>
      </c>
      <c r="H7" s="188" t="s">
        <v>396</v>
      </c>
      <c r="I7" s="237">
        <v>578272</v>
      </c>
      <c r="J7" s="207"/>
      <c r="K7" s="207"/>
      <c r="L7" s="234">
        <f>3.17*396399</f>
        <v>1256584.83</v>
      </c>
      <c r="M7" s="208"/>
      <c r="N7" s="208"/>
      <c r="O7" s="191" t="s">
        <v>425</v>
      </c>
      <c r="P7" s="192" t="s">
        <v>430</v>
      </c>
      <c r="Q7" s="192"/>
      <c r="R7" s="192" t="s">
        <v>566</v>
      </c>
      <c r="S7" s="192" t="s">
        <v>560</v>
      </c>
      <c r="T7" s="193" t="s">
        <v>554</v>
      </c>
      <c r="U7" s="200"/>
      <c r="V7" s="200"/>
      <c r="W7" s="201"/>
      <c r="X7" s="201"/>
      <c r="Y7" s="200"/>
      <c r="Z7" s="203"/>
      <c r="AA7" s="196"/>
      <c r="AB7" s="97"/>
    </row>
    <row r="8" spans="1:28" s="63" customFormat="1" ht="16.2" customHeight="1" x14ac:dyDescent="0.3">
      <c r="A8" s="96" t="s">
        <v>356</v>
      </c>
      <c r="B8" s="195" t="s">
        <v>558</v>
      </c>
      <c r="C8" s="195" t="s">
        <v>558</v>
      </c>
      <c r="D8" s="197" t="s">
        <v>402</v>
      </c>
      <c r="E8" s="190" t="s">
        <v>411</v>
      </c>
      <c r="F8" s="189" t="s">
        <v>417</v>
      </c>
      <c r="G8" s="188" t="s">
        <v>421</v>
      </c>
      <c r="H8" s="188" t="s">
        <v>396</v>
      </c>
      <c r="I8" s="237">
        <v>578272</v>
      </c>
      <c r="J8" s="207"/>
      <c r="K8" s="207"/>
      <c r="L8" s="226">
        <v>2</v>
      </c>
      <c r="M8" s="208"/>
      <c r="N8" s="208"/>
      <c r="O8" s="191" t="s">
        <v>425</v>
      </c>
      <c r="P8" s="192" t="s">
        <v>430</v>
      </c>
      <c r="Q8" s="192"/>
      <c r="R8" s="192" t="s">
        <v>567</v>
      </c>
      <c r="S8" s="235" t="s">
        <v>538</v>
      </c>
      <c r="T8" s="193" t="s">
        <v>561</v>
      </c>
      <c r="U8" s="200"/>
      <c r="V8" s="200"/>
      <c r="W8" s="201"/>
      <c r="X8" s="201"/>
      <c r="Y8" s="200"/>
      <c r="Z8" s="203"/>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8" type="noConversion"/>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extLst>
    <ext xmlns:x14="http://schemas.microsoft.com/office/spreadsheetml/2009/9/main" uri="{78C0D931-6437-407d-A8EE-F0AAD7539E65}">
      <x14:conditionalFormattings>
        <x14:conditionalFormatting xmlns:xm="http://schemas.microsoft.com/office/excel/2006/main">
          <x14:cfRule type="expression" priority="17"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22" id="{64935469-10BB-41D4-83DD-AA7A26A84A91}">
            <xm:f>$O5=HID_dropdown!$G$3</xm:f>
            <x14:dxf>
              <fill>
                <patternFill>
                  <bgColor theme="1"/>
                </patternFill>
              </fill>
            </x14:dxf>
          </x14:cfRule>
          <xm:sqref>P9:R19 P5:Q8</xm:sqref>
        </x14:conditionalFormatting>
        <x14:conditionalFormatting xmlns:xm="http://schemas.microsoft.com/office/excel/2006/main">
          <x14:cfRule type="expression" priority="32"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T9:T19 I9:K19 J5:K8</xm:sqref>
        </x14:conditionalFormatting>
        <x14:conditionalFormatting xmlns:xm="http://schemas.microsoft.com/office/excel/2006/main">
          <x14:cfRule type="expression" priority="34" id="{B1238FB2-7508-4501-931B-170B7C9293D0}">
            <xm:f>$H5=HID_dropdown!$A$2</xm:f>
            <x14:dxf>
              <fill>
                <patternFill>
                  <bgColor theme="1"/>
                </patternFill>
              </fill>
            </x14:dxf>
          </x14:cfRule>
          <xm:sqref>U5:V19</xm:sqref>
        </x14:conditionalFormatting>
        <x14:conditionalFormatting xmlns:xm="http://schemas.microsoft.com/office/excel/2006/main">
          <x14:cfRule type="expression" priority="1" id="{5C07F8C5-576D-4AED-BCF5-45FE628F4D49}">
            <xm:f>$H5=HID_dropdown!$A$3</xm:f>
            <x14:dxf>
              <fill>
                <patternFill>
                  <bgColor theme="1"/>
                </patternFill>
              </fill>
              <border>
                <left style="thin">
                  <color auto="1"/>
                </left>
                <right style="thin">
                  <color auto="1"/>
                </right>
                <top style="thin">
                  <color auto="1"/>
                </top>
                <bottom style="thin">
                  <color auto="1"/>
                </bottom>
              </border>
            </x14:dxf>
          </x14:cfRule>
          <xm:sqref>I5:I8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zoomScale="85" zoomScaleNormal="85" workbookViewId="0">
      <pane xSplit="2" ySplit="4" topLeftCell="U5" activePane="bottomRight" state="frozen"/>
      <selection pane="topRight" activeCell="C1" sqref="C1"/>
      <selection pane="bottomLeft" activeCell="A5" sqref="A5"/>
      <selection pane="bottomRight" activeCell="I5" sqref="I5:I1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Risques Professionnelles</v>
      </c>
      <c r="C1" s="163" t="str">
        <f ca="1">IF(OFFSET('Inventaire des régimes'!C5,(_xlfn.SHEET()-2),0)=0,"Name of Scheme in English", OFFSET('Inventaire des régimes'!C5,(_xlfn.SHEET()-2),0))</f>
        <v>Branche des Risques Professionnels</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30.6" x14ac:dyDescent="0.3">
      <c r="A5" s="96" t="s">
        <v>353</v>
      </c>
      <c r="B5" s="230" t="s">
        <v>542</v>
      </c>
      <c r="C5" s="230" t="s">
        <v>542</v>
      </c>
      <c r="D5" s="189" t="s">
        <v>225</v>
      </c>
      <c r="E5" s="190" t="s">
        <v>547</v>
      </c>
      <c r="F5" s="189" t="s">
        <v>417</v>
      </c>
      <c r="G5" s="188" t="s">
        <v>421</v>
      </c>
      <c r="H5" s="188" t="s">
        <v>396</v>
      </c>
      <c r="I5" s="236">
        <v>578272</v>
      </c>
      <c r="J5" s="204"/>
      <c r="K5" s="204"/>
      <c r="L5" s="225">
        <v>1020</v>
      </c>
      <c r="M5" s="206"/>
      <c r="N5" s="206"/>
      <c r="O5" s="191" t="s">
        <v>425</v>
      </c>
      <c r="P5" s="192" t="s">
        <v>430</v>
      </c>
      <c r="Q5" s="228">
        <v>180000</v>
      </c>
      <c r="R5" s="191"/>
      <c r="S5" s="191"/>
      <c r="T5" s="193" t="s">
        <v>554</v>
      </c>
      <c r="U5" s="193"/>
      <c r="V5" s="193"/>
      <c r="W5" s="229"/>
      <c r="X5" s="229"/>
      <c r="Y5" s="193"/>
      <c r="Z5" s="202"/>
      <c r="AA5" s="188"/>
      <c r="AB5" s="97"/>
    </row>
    <row r="6" spans="1:28" s="63" customFormat="1" ht="30.6" x14ac:dyDescent="0.3">
      <c r="A6" s="96" t="s">
        <v>354</v>
      </c>
      <c r="B6" s="230" t="s">
        <v>543</v>
      </c>
      <c r="C6" s="231" t="s">
        <v>543</v>
      </c>
      <c r="D6" s="189" t="s">
        <v>400</v>
      </c>
      <c r="E6" s="190" t="s">
        <v>547</v>
      </c>
      <c r="F6" s="189" t="s">
        <v>419</v>
      </c>
      <c r="G6" s="188" t="s">
        <v>421</v>
      </c>
      <c r="H6" s="188" t="s">
        <v>396</v>
      </c>
      <c r="I6" s="236">
        <v>578272</v>
      </c>
      <c r="J6" s="207"/>
      <c r="K6" s="207"/>
      <c r="L6" s="226">
        <v>1608</v>
      </c>
      <c r="M6" s="208"/>
      <c r="N6" s="208"/>
      <c r="O6" s="191" t="s">
        <v>425</v>
      </c>
      <c r="P6" s="192" t="s">
        <v>430</v>
      </c>
      <c r="Q6" s="228">
        <v>180000</v>
      </c>
      <c r="R6" s="192"/>
      <c r="S6" s="192"/>
      <c r="T6" s="193" t="s">
        <v>554</v>
      </c>
      <c r="U6" s="200"/>
      <c r="V6" s="200"/>
      <c r="W6" s="199"/>
      <c r="X6" s="199"/>
      <c r="Y6" s="200"/>
      <c r="Z6" s="202"/>
      <c r="AA6" s="196"/>
      <c r="AB6" s="97"/>
    </row>
    <row r="7" spans="1:28" s="63" customFormat="1" ht="30.6" x14ac:dyDescent="0.3">
      <c r="A7" s="96" t="s">
        <v>355</v>
      </c>
      <c r="B7" s="232" t="s">
        <v>544</v>
      </c>
      <c r="C7" s="232" t="s">
        <v>544</v>
      </c>
      <c r="D7" s="189" t="s">
        <v>225</v>
      </c>
      <c r="E7" s="190" t="s">
        <v>547</v>
      </c>
      <c r="F7" s="189" t="s">
        <v>417</v>
      </c>
      <c r="G7" s="188" t="s">
        <v>421</v>
      </c>
      <c r="H7" s="188" t="s">
        <v>396</v>
      </c>
      <c r="I7" s="236">
        <v>578272</v>
      </c>
      <c r="J7" s="207"/>
      <c r="K7" s="207"/>
      <c r="L7" s="226"/>
      <c r="M7" s="208"/>
      <c r="N7" s="208"/>
      <c r="O7" s="191" t="s">
        <v>425</v>
      </c>
      <c r="P7" s="192" t="s">
        <v>430</v>
      </c>
      <c r="Q7" s="228">
        <v>180000</v>
      </c>
      <c r="R7" s="192"/>
      <c r="S7" s="192"/>
      <c r="T7" s="193" t="s">
        <v>554</v>
      </c>
      <c r="U7" s="200"/>
      <c r="V7" s="200"/>
      <c r="W7" s="199"/>
      <c r="X7" s="199"/>
      <c r="Y7" s="200"/>
      <c r="Z7" s="202"/>
      <c r="AA7" s="196"/>
      <c r="AB7" s="97"/>
    </row>
    <row r="8" spans="1:28" s="63" customFormat="1" ht="30.6" x14ac:dyDescent="0.3">
      <c r="A8" s="96" t="s">
        <v>356</v>
      </c>
      <c r="B8" s="233" t="s">
        <v>545</v>
      </c>
      <c r="C8" s="233" t="s">
        <v>545</v>
      </c>
      <c r="D8" s="189" t="s">
        <v>405</v>
      </c>
      <c r="E8" s="190" t="s">
        <v>547</v>
      </c>
      <c r="F8" s="189" t="s">
        <v>417</v>
      </c>
      <c r="G8" s="188" t="s">
        <v>421</v>
      </c>
      <c r="H8" s="188" t="s">
        <v>396</v>
      </c>
      <c r="I8" s="236">
        <v>578272</v>
      </c>
      <c r="J8" s="207"/>
      <c r="K8" s="207"/>
      <c r="L8" s="226"/>
      <c r="M8" s="208"/>
      <c r="N8" s="208"/>
      <c r="O8" s="191" t="s">
        <v>425</v>
      </c>
      <c r="P8" s="192" t="s">
        <v>431</v>
      </c>
      <c r="Q8" s="228">
        <v>180000</v>
      </c>
      <c r="R8" s="192"/>
      <c r="S8" s="192"/>
      <c r="T8" s="193" t="s">
        <v>554</v>
      </c>
      <c r="U8" s="200"/>
      <c r="V8" s="200"/>
      <c r="W8" s="199"/>
      <c r="X8" s="199"/>
      <c r="Y8" s="200"/>
      <c r="Z8" s="202"/>
      <c r="AA8" s="196"/>
      <c r="AB8" s="97"/>
    </row>
    <row r="9" spans="1:28" s="63" customFormat="1" ht="30.6" x14ac:dyDescent="0.3">
      <c r="A9" s="96" t="s">
        <v>357</v>
      </c>
      <c r="B9" s="233" t="s">
        <v>546</v>
      </c>
      <c r="C9" s="233" t="s">
        <v>546</v>
      </c>
      <c r="D9" s="189" t="s">
        <v>405</v>
      </c>
      <c r="E9" s="190" t="s">
        <v>547</v>
      </c>
      <c r="F9" s="189" t="s">
        <v>417</v>
      </c>
      <c r="G9" s="188" t="s">
        <v>421</v>
      </c>
      <c r="H9" s="188" t="s">
        <v>396</v>
      </c>
      <c r="I9" s="236">
        <v>578272</v>
      </c>
      <c r="J9" s="207"/>
      <c r="K9" s="207"/>
      <c r="L9" s="226"/>
      <c r="M9" s="208"/>
      <c r="N9" s="208"/>
      <c r="O9" s="191" t="s">
        <v>425</v>
      </c>
      <c r="P9" s="192" t="s">
        <v>430</v>
      </c>
      <c r="Q9" s="228">
        <v>180000</v>
      </c>
      <c r="R9" s="192"/>
      <c r="S9" s="192"/>
      <c r="T9" s="193" t="s">
        <v>554</v>
      </c>
      <c r="U9" s="200"/>
      <c r="V9" s="200"/>
      <c r="W9" s="199"/>
      <c r="X9" s="199"/>
      <c r="Y9" s="200"/>
      <c r="Z9" s="202"/>
      <c r="AA9" s="196"/>
      <c r="AB9" s="97"/>
    </row>
    <row r="10" spans="1:28" s="63" customFormat="1" ht="30.6" x14ac:dyDescent="0.3">
      <c r="A10" s="96" t="s">
        <v>358</v>
      </c>
      <c r="B10" s="195" t="s">
        <v>548</v>
      </c>
      <c r="C10" s="195" t="s">
        <v>548</v>
      </c>
      <c r="D10" s="189" t="s">
        <v>225</v>
      </c>
      <c r="E10" s="190" t="s">
        <v>547</v>
      </c>
      <c r="F10" s="189" t="s">
        <v>417</v>
      </c>
      <c r="G10" s="188" t="s">
        <v>421</v>
      </c>
      <c r="H10" s="188" t="s">
        <v>396</v>
      </c>
      <c r="I10" s="236">
        <v>578272</v>
      </c>
      <c r="J10" s="207"/>
      <c r="K10" s="207"/>
      <c r="L10" s="209"/>
      <c r="M10" s="208"/>
      <c r="N10" s="208"/>
      <c r="O10" s="192" t="s">
        <v>426</v>
      </c>
      <c r="P10" s="192"/>
      <c r="Q10" s="192"/>
      <c r="R10" s="192"/>
      <c r="S10" s="192"/>
      <c r="T10" s="193" t="s">
        <v>554</v>
      </c>
      <c r="U10" s="200"/>
      <c r="V10" s="200"/>
      <c r="W10" s="201"/>
      <c r="X10" s="201"/>
      <c r="Y10" s="200"/>
      <c r="Z10" s="202"/>
      <c r="AA10" s="196"/>
      <c r="AB10" s="97"/>
    </row>
    <row r="11" spans="1:28" s="63" customFormat="1" ht="30.6" x14ac:dyDescent="0.3">
      <c r="A11" s="96" t="s">
        <v>359</v>
      </c>
      <c r="B11" s="195" t="s">
        <v>549</v>
      </c>
      <c r="C11" s="195" t="s">
        <v>549</v>
      </c>
      <c r="D11" s="189" t="s">
        <v>225</v>
      </c>
      <c r="E11" s="190" t="s">
        <v>547</v>
      </c>
      <c r="F11" s="189" t="s">
        <v>417</v>
      </c>
      <c r="G11" s="188" t="s">
        <v>421</v>
      </c>
      <c r="H11" s="188" t="s">
        <v>396</v>
      </c>
      <c r="I11" s="236">
        <v>578272</v>
      </c>
      <c r="J11" s="207"/>
      <c r="K11" s="207"/>
      <c r="L11" s="208"/>
      <c r="M11" s="208"/>
      <c r="N11" s="208"/>
      <c r="O11" s="192" t="s">
        <v>426</v>
      </c>
      <c r="P11" s="192"/>
      <c r="Q11" s="192"/>
      <c r="R11" s="192"/>
      <c r="S11" s="192"/>
      <c r="T11" s="193" t="s">
        <v>554</v>
      </c>
      <c r="U11" s="200"/>
      <c r="V11" s="200"/>
      <c r="W11" s="201"/>
      <c r="X11" s="201"/>
      <c r="Y11" s="200"/>
      <c r="Z11" s="202"/>
      <c r="AA11" s="196"/>
      <c r="AB11" s="97"/>
    </row>
    <row r="12" spans="1:28" s="63" customFormat="1" ht="30.6" x14ac:dyDescent="0.3">
      <c r="A12" s="96" t="s">
        <v>360</v>
      </c>
      <c r="B12" s="195" t="s">
        <v>550</v>
      </c>
      <c r="C12" s="195" t="s">
        <v>550</v>
      </c>
      <c r="D12" s="189" t="s">
        <v>225</v>
      </c>
      <c r="E12" s="190" t="s">
        <v>547</v>
      </c>
      <c r="F12" s="189" t="s">
        <v>417</v>
      </c>
      <c r="G12" s="188" t="s">
        <v>421</v>
      </c>
      <c r="H12" s="188" t="s">
        <v>396</v>
      </c>
      <c r="I12" s="236">
        <v>578272</v>
      </c>
      <c r="J12" s="207"/>
      <c r="K12" s="207"/>
      <c r="L12" s="208"/>
      <c r="M12" s="208"/>
      <c r="N12" s="208"/>
      <c r="O12" s="192" t="s">
        <v>426</v>
      </c>
      <c r="P12" s="192"/>
      <c r="Q12" s="192"/>
      <c r="R12" s="192"/>
      <c r="S12" s="192"/>
      <c r="T12" s="193" t="s">
        <v>554</v>
      </c>
      <c r="U12" s="200"/>
      <c r="V12" s="200"/>
      <c r="W12" s="201"/>
      <c r="X12" s="201"/>
      <c r="Y12" s="200"/>
      <c r="Z12" s="202"/>
      <c r="AA12" s="196"/>
      <c r="AB12" s="97"/>
    </row>
    <row r="13" spans="1:28" s="63" customFormat="1" ht="41.4" x14ac:dyDescent="0.3">
      <c r="A13" s="96" t="s">
        <v>361</v>
      </c>
      <c r="B13" s="195" t="s">
        <v>551</v>
      </c>
      <c r="C13" s="195" t="s">
        <v>551</v>
      </c>
      <c r="D13" s="189" t="s">
        <v>225</v>
      </c>
      <c r="E13" s="190" t="s">
        <v>547</v>
      </c>
      <c r="F13" s="189" t="s">
        <v>417</v>
      </c>
      <c r="G13" s="188" t="s">
        <v>421</v>
      </c>
      <c r="H13" s="188" t="s">
        <v>396</v>
      </c>
      <c r="I13" s="236">
        <v>578272</v>
      </c>
      <c r="J13" s="207"/>
      <c r="K13" s="207"/>
      <c r="L13" s="208"/>
      <c r="M13" s="208"/>
      <c r="N13" s="208"/>
      <c r="O13" s="192" t="s">
        <v>426</v>
      </c>
      <c r="P13" s="192"/>
      <c r="Q13" s="192"/>
      <c r="R13" s="192"/>
      <c r="S13" s="192"/>
      <c r="T13" s="193" t="s">
        <v>554</v>
      </c>
      <c r="U13" s="200"/>
      <c r="V13" s="200"/>
      <c r="W13" s="201"/>
      <c r="X13" s="201"/>
      <c r="Y13" s="200"/>
      <c r="Z13" s="202"/>
      <c r="AA13" s="196"/>
      <c r="AB13" s="97"/>
    </row>
    <row r="14" spans="1:28" s="63" customFormat="1" ht="30.6" x14ac:dyDescent="0.3">
      <c r="A14" s="96" t="s">
        <v>362</v>
      </c>
      <c r="B14" s="195" t="s">
        <v>552</v>
      </c>
      <c r="C14" s="195" t="s">
        <v>552</v>
      </c>
      <c r="D14" s="189" t="s">
        <v>225</v>
      </c>
      <c r="E14" s="190" t="s">
        <v>547</v>
      </c>
      <c r="F14" s="189" t="s">
        <v>417</v>
      </c>
      <c r="G14" s="188" t="s">
        <v>421</v>
      </c>
      <c r="H14" s="188" t="s">
        <v>396</v>
      </c>
      <c r="I14" s="236">
        <v>578272</v>
      </c>
      <c r="J14" s="207"/>
      <c r="K14" s="207"/>
      <c r="L14" s="208"/>
      <c r="M14" s="208"/>
      <c r="N14" s="208"/>
      <c r="O14" s="192" t="s">
        <v>426</v>
      </c>
      <c r="P14" s="192"/>
      <c r="Q14" s="192"/>
      <c r="R14" s="192"/>
      <c r="S14" s="192"/>
      <c r="T14" s="193" t="s">
        <v>554</v>
      </c>
      <c r="U14" s="200"/>
      <c r="V14" s="200"/>
      <c r="W14" s="201"/>
      <c r="X14" s="201"/>
      <c r="Y14" s="200"/>
      <c r="Z14" s="202"/>
      <c r="AA14" s="196"/>
      <c r="AB14" s="97"/>
    </row>
    <row r="15" spans="1:28" s="63" customFormat="1" ht="30.6" x14ac:dyDescent="0.3">
      <c r="A15" s="96" t="s">
        <v>363</v>
      </c>
      <c r="B15" s="195" t="s">
        <v>553</v>
      </c>
      <c r="C15" s="195" t="s">
        <v>553</v>
      </c>
      <c r="D15" s="189" t="s">
        <v>225</v>
      </c>
      <c r="E15" s="190" t="s">
        <v>547</v>
      </c>
      <c r="F15" s="189" t="s">
        <v>417</v>
      </c>
      <c r="G15" s="188" t="s">
        <v>421</v>
      </c>
      <c r="H15" s="188" t="s">
        <v>396</v>
      </c>
      <c r="I15" s="236">
        <v>578272</v>
      </c>
      <c r="J15" s="207"/>
      <c r="K15" s="207"/>
      <c r="L15" s="209"/>
      <c r="M15" s="208"/>
      <c r="N15" s="208"/>
      <c r="O15" s="192" t="s">
        <v>426</v>
      </c>
      <c r="P15" s="192"/>
      <c r="Q15" s="192"/>
      <c r="R15" s="192"/>
      <c r="S15" s="192"/>
      <c r="T15" s="193" t="s">
        <v>554</v>
      </c>
      <c r="U15" s="200"/>
      <c r="V15" s="200"/>
      <c r="W15" s="201"/>
      <c r="X15" s="201"/>
      <c r="Y15" s="200"/>
      <c r="Z15" s="202"/>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t="s">
        <v>562</v>
      </c>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5"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6"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7"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T5:T19 I16:K19 J15:K15</xm:sqref>
        </x14:conditionalFormatting>
        <x14:conditionalFormatting xmlns:xm="http://schemas.microsoft.com/office/excel/2006/main">
          <x14:cfRule type="expression" priority="8" id="{FDDB06D2-73A0-4C3F-ABD7-23F8E85C1A3D}">
            <xm:f>$H5=HID_dropdown!$A$2</xm:f>
            <x14:dxf>
              <fill>
                <patternFill>
                  <bgColor theme="1"/>
                </patternFill>
              </fill>
            </x14:dxf>
          </x14:cfRule>
          <xm:sqref>U5:V19</xm:sqref>
        </x14:conditionalFormatting>
        <x14:conditionalFormatting xmlns:xm="http://schemas.microsoft.com/office/excel/2006/main">
          <x14:cfRule type="expression" priority="1" id="{5C5A79BB-BD93-4B98-958B-DE45B3F2C8C4}">
            <xm:f>$H5=HID_dropdown!$A$3</xm:f>
            <x14:dxf>
              <fill>
                <patternFill>
                  <bgColor theme="1"/>
                </patternFill>
              </fill>
              <border>
                <left style="thin">
                  <color auto="1"/>
                </left>
                <right style="thin">
                  <color auto="1"/>
                </right>
                <top style="thin">
                  <color auto="1"/>
                </top>
                <bottom style="thin">
                  <color auto="1"/>
                </bottom>
              </border>
            </x14:dxf>
          </x14:cfRule>
          <xm:sqref>I5:I15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Q5" activePane="bottomRight" state="frozen"/>
      <selection pane="topRight" activeCell="C1" sqref="C1"/>
      <selection pane="bottomLeft" activeCell="A5" sqref="A5"/>
      <selection pane="bottomRight" activeCell="I5" sqref="I5:I10"/>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Pensions</v>
      </c>
      <c r="C1" s="163" t="str">
        <f ca="1">IF(OFFSET('Inventaire des régimes'!C5,(_xlfn.SHEET()-2),0)=0,"Name of Scheme in English", OFFSET('Inventaire des régimes'!C5,(_xlfn.SHEET()-2),0))</f>
        <v>Branche des Pensions</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537</v>
      </c>
      <c r="R4" s="158" t="s">
        <v>537</v>
      </c>
      <c r="S4" s="159"/>
      <c r="T4" s="155"/>
      <c r="U4" s="158" t="s">
        <v>242</v>
      </c>
      <c r="V4" s="158" t="s">
        <v>242</v>
      </c>
      <c r="W4" s="160" t="s">
        <v>243</v>
      </c>
      <c r="X4" s="161" t="s">
        <v>244</v>
      </c>
      <c r="Y4" s="155"/>
      <c r="Z4" s="155"/>
      <c r="AA4" s="155"/>
      <c r="AB4" s="90"/>
    </row>
    <row r="5" spans="1:28" s="63" customFormat="1" ht="13.8" x14ac:dyDescent="0.3">
      <c r="A5" s="96" t="s">
        <v>353</v>
      </c>
      <c r="B5" s="187" t="s">
        <v>531</v>
      </c>
      <c r="C5" s="187" t="s">
        <v>531</v>
      </c>
      <c r="D5" s="189" t="s">
        <v>216</v>
      </c>
      <c r="E5" s="190" t="s">
        <v>411</v>
      </c>
      <c r="F5" s="189" t="s">
        <v>418</v>
      </c>
      <c r="G5" s="188" t="s">
        <v>421</v>
      </c>
      <c r="H5" s="188" t="s">
        <v>396</v>
      </c>
      <c r="I5" s="236">
        <v>578272</v>
      </c>
      <c r="J5" s="204"/>
      <c r="K5" s="204"/>
      <c r="L5" s="225">
        <v>43601</v>
      </c>
      <c r="M5" s="206"/>
      <c r="N5" s="206"/>
      <c r="O5" s="191" t="s">
        <v>425</v>
      </c>
      <c r="P5" s="192" t="s">
        <v>430</v>
      </c>
      <c r="Q5" s="228">
        <v>230000</v>
      </c>
      <c r="R5" s="191"/>
      <c r="S5" s="191"/>
      <c r="T5" s="193" t="s">
        <v>540</v>
      </c>
      <c r="U5" s="229"/>
      <c r="V5" s="229"/>
      <c r="W5" s="229" t="s">
        <v>541</v>
      </c>
      <c r="X5" s="229" t="s">
        <v>541</v>
      </c>
      <c r="Y5" s="193"/>
      <c r="Z5" s="202"/>
      <c r="AA5" s="188"/>
      <c r="AB5" s="97"/>
    </row>
    <row r="6" spans="1:28" s="63" customFormat="1" ht="13.8" x14ac:dyDescent="0.3">
      <c r="A6" s="96" t="s">
        <v>354</v>
      </c>
      <c r="B6" s="195" t="s">
        <v>521</v>
      </c>
      <c r="C6" s="195" t="s">
        <v>521</v>
      </c>
      <c r="D6" s="197" t="s">
        <v>399</v>
      </c>
      <c r="E6" s="190" t="s">
        <v>411</v>
      </c>
      <c r="F6" s="199" t="s">
        <v>417</v>
      </c>
      <c r="G6" s="188" t="s">
        <v>421</v>
      </c>
      <c r="H6" s="188" t="s">
        <v>396</v>
      </c>
      <c r="I6" s="236">
        <v>578272</v>
      </c>
      <c r="J6" s="207"/>
      <c r="K6" s="207"/>
      <c r="L6" s="226">
        <v>432</v>
      </c>
      <c r="M6" s="208"/>
      <c r="N6" s="208"/>
      <c r="O6" s="192" t="s">
        <v>425</v>
      </c>
      <c r="P6" s="192" t="s">
        <v>430</v>
      </c>
      <c r="Q6" s="228">
        <v>230000</v>
      </c>
      <c r="R6" s="192"/>
      <c r="S6" s="192"/>
      <c r="T6" s="193" t="s">
        <v>540</v>
      </c>
      <c r="U6" s="199"/>
      <c r="V6" s="199"/>
      <c r="W6" s="199"/>
      <c r="X6" s="199"/>
      <c r="Y6" s="200"/>
      <c r="Z6" s="202"/>
      <c r="AA6" s="196"/>
      <c r="AB6" s="97"/>
    </row>
    <row r="7" spans="1:28" s="63" customFormat="1" ht="13.8" x14ac:dyDescent="0.3">
      <c r="A7" s="96" t="s">
        <v>355</v>
      </c>
      <c r="B7" s="195" t="s">
        <v>532</v>
      </c>
      <c r="C7" s="195" t="s">
        <v>532</v>
      </c>
      <c r="D7" s="197" t="s">
        <v>400</v>
      </c>
      <c r="E7" s="190" t="s">
        <v>411</v>
      </c>
      <c r="F7" s="199" t="s">
        <v>419</v>
      </c>
      <c r="G7" s="188" t="s">
        <v>421</v>
      </c>
      <c r="H7" s="188" t="s">
        <v>396</v>
      </c>
      <c r="I7" s="236">
        <v>578272</v>
      </c>
      <c r="J7" s="207"/>
      <c r="K7" s="207"/>
      <c r="L7" s="226">
        <v>30778</v>
      </c>
      <c r="M7" s="208"/>
      <c r="N7" s="208"/>
      <c r="O7" s="192" t="s">
        <v>425</v>
      </c>
      <c r="P7" s="192" t="s">
        <v>430</v>
      </c>
      <c r="Q7" s="228">
        <v>230000</v>
      </c>
      <c r="R7" s="192"/>
      <c r="S7" s="192"/>
      <c r="T7" s="193" t="s">
        <v>540</v>
      </c>
      <c r="U7" s="199"/>
      <c r="V7" s="199"/>
      <c r="W7" s="199"/>
      <c r="X7" s="199"/>
      <c r="Y7" s="200"/>
      <c r="Z7" s="202"/>
      <c r="AA7" s="196"/>
      <c r="AB7" s="97"/>
    </row>
    <row r="8" spans="1:28" s="63" customFormat="1" ht="13.8" x14ac:dyDescent="0.3">
      <c r="A8" s="96" t="s">
        <v>356</v>
      </c>
      <c r="B8" s="195" t="s">
        <v>563</v>
      </c>
      <c r="C8" s="195" t="s">
        <v>533</v>
      </c>
      <c r="D8" s="197" t="s">
        <v>216</v>
      </c>
      <c r="E8" s="190" t="s">
        <v>411</v>
      </c>
      <c r="F8" s="199" t="s">
        <v>418</v>
      </c>
      <c r="G8" s="188" t="s">
        <v>421</v>
      </c>
      <c r="H8" s="188" t="s">
        <v>396</v>
      </c>
      <c r="I8" s="236">
        <v>578272</v>
      </c>
      <c r="J8" s="207"/>
      <c r="K8" s="207"/>
      <c r="L8" s="226"/>
      <c r="M8" s="208"/>
      <c r="N8" s="208"/>
      <c r="O8" s="192" t="s">
        <v>425</v>
      </c>
      <c r="P8" s="192"/>
      <c r="Q8" s="228"/>
      <c r="R8" s="192"/>
      <c r="S8" s="192" t="s">
        <v>539</v>
      </c>
      <c r="T8" s="200"/>
      <c r="U8" s="199"/>
      <c r="V8" s="199"/>
      <c r="W8" s="199"/>
      <c r="X8" s="199"/>
      <c r="Y8" s="200"/>
      <c r="Z8" s="202"/>
      <c r="AA8" s="196"/>
      <c r="AB8" s="97"/>
    </row>
    <row r="9" spans="1:28" s="63" customFormat="1" ht="13.8" x14ac:dyDescent="0.3">
      <c r="A9" s="96" t="s">
        <v>357</v>
      </c>
      <c r="B9" s="195" t="s">
        <v>534</v>
      </c>
      <c r="C9" s="195" t="s">
        <v>534</v>
      </c>
      <c r="D9" s="197" t="s">
        <v>400</v>
      </c>
      <c r="E9" s="190" t="s">
        <v>411</v>
      </c>
      <c r="F9" s="199" t="s">
        <v>419</v>
      </c>
      <c r="G9" s="188" t="s">
        <v>421</v>
      </c>
      <c r="H9" s="188" t="s">
        <v>396</v>
      </c>
      <c r="I9" s="236">
        <v>578272</v>
      </c>
      <c r="J9" s="207"/>
      <c r="K9" s="207"/>
      <c r="L9" s="226"/>
      <c r="M9" s="208"/>
      <c r="N9" s="208"/>
      <c r="O9" s="192" t="s">
        <v>425</v>
      </c>
      <c r="P9" s="192"/>
      <c r="Q9" s="228"/>
      <c r="R9" s="192"/>
      <c r="S9" s="192" t="s">
        <v>539</v>
      </c>
      <c r="T9" s="200"/>
      <c r="U9" s="199"/>
      <c r="V9" s="199"/>
      <c r="W9" s="199"/>
      <c r="X9" s="199"/>
      <c r="Y9" s="200"/>
      <c r="Z9" s="202"/>
      <c r="AA9" s="196"/>
      <c r="AB9" s="97"/>
    </row>
    <row r="10" spans="1:28" s="63" customFormat="1" ht="13.8" x14ac:dyDescent="0.3">
      <c r="A10" s="96" t="s">
        <v>358</v>
      </c>
      <c r="B10" s="195" t="s">
        <v>535</v>
      </c>
      <c r="C10" s="195" t="s">
        <v>535</v>
      </c>
      <c r="D10" s="197" t="s">
        <v>216</v>
      </c>
      <c r="E10" s="198" t="s">
        <v>411</v>
      </c>
      <c r="F10" s="199" t="s">
        <v>418</v>
      </c>
      <c r="G10" s="196" t="s">
        <v>421</v>
      </c>
      <c r="H10" s="196" t="s">
        <v>396</v>
      </c>
      <c r="I10" s="236">
        <v>578272</v>
      </c>
      <c r="J10" s="207"/>
      <c r="K10" s="207"/>
      <c r="L10" s="227">
        <v>696</v>
      </c>
      <c r="M10" s="208"/>
      <c r="N10" s="208"/>
      <c r="O10" s="192" t="s">
        <v>425</v>
      </c>
      <c r="P10" s="192" t="s">
        <v>430</v>
      </c>
      <c r="Q10" s="228">
        <v>230000</v>
      </c>
      <c r="R10" s="192"/>
      <c r="S10" s="192"/>
      <c r="T10" s="193" t="s">
        <v>540</v>
      </c>
      <c r="U10" s="199"/>
      <c r="V10" s="199"/>
      <c r="W10" s="199"/>
      <c r="X10" s="199"/>
      <c r="Y10" s="200"/>
      <c r="Z10" s="202"/>
      <c r="AA10" s="196"/>
      <c r="AB10" s="97"/>
    </row>
    <row r="11" spans="1:28" s="63" customFormat="1" ht="13.8" x14ac:dyDescent="0.3">
      <c r="A11" s="96" t="s">
        <v>359</v>
      </c>
      <c r="B11" s="195" t="s">
        <v>536</v>
      </c>
      <c r="C11" s="195" t="s">
        <v>536</v>
      </c>
      <c r="D11" s="197" t="s">
        <v>405</v>
      </c>
      <c r="E11" s="198"/>
      <c r="F11" s="199"/>
      <c r="G11" s="196"/>
      <c r="H11" s="196"/>
      <c r="I11" s="207"/>
      <c r="J11" s="207"/>
      <c r="K11" s="207"/>
      <c r="L11" s="208"/>
      <c r="M11" s="208"/>
      <c r="N11" s="208"/>
      <c r="O11" s="192"/>
      <c r="P11" s="192" t="s">
        <v>431</v>
      </c>
      <c r="Q11" s="228">
        <v>230000</v>
      </c>
      <c r="R11" s="192"/>
      <c r="S11" s="192" t="s">
        <v>539</v>
      </c>
      <c r="T11" s="200"/>
      <c r="U11" s="199"/>
      <c r="V11" s="199"/>
      <c r="W11" s="199"/>
      <c r="X11" s="199"/>
      <c r="Y11" s="200"/>
      <c r="Z11" s="202"/>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2"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3"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4"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T5:T19 I11:K19 J5:K10</xm:sqref>
        </x14:conditionalFormatting>
        <x14:conditionalFormatting xmlns:xm="http://schemas.microsoft.com/office/excel/2006/main">
          <x14:cfRule type="expression" priority="5" id="{145EFEEB-419B-4471-B5E7-E1DA98D503F2}">
            <xm:f>$H5=HID_dropdown!$A$2</xm:f>
            <x14:dxf>
              <fill>
                <patternFill>
                  <bgColor theme="1"/>
                </patternFill>
              </fill>
            </x14:dxf>
          </x14:cfRule>
          <xm:sqref>U5:V19</xm:sqref>
        </x14:conditionalFormatting>
        <x14:conditionalFormatting xmlns:xm="http://schemas.microsoft.com/office/excel/2006/main">
          <x14:cfRule type="expression" priority="1" id="{1CB062E9-507E-4869-99AD-7C098518B90D}">
            <xm:f>$H5=HID_dropdown!$A$3</xm:f>
            <x14:dxf>
              <fill>
                <patternFill>
                  <bgColor theme="1"/>
                </patternFill>
              </fill>
              <border>
                <left style="thin">
                  <color auto="1"/>
                </left>
                <right style="thin">
                  <color auto="1"/>
                </right>
                <top style="thin">
                  <color auto="1"/>
                </top>
                <bottom style="thin">
                  <color auto="1"/>
                </bottom>
              </border>
            </x14:dxf>
          </x14:cfRule>
          <xm:sqref>I5:I10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E6:E19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J18" sqref="J18"/>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Action sanitaire et sociale</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46" t="s">
        <v>325</v>
      </c>
      <c r="M3" s="247"/>
      <c r="N3" s="248"/>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52" t="s">
        <v>368</v>
      </c>
      <c r="B4" s="252"/>
      <c r="C4" s="252"/>
      <c r="D4" s="252"/>
      <c r="E4" s="252"/>
      <c r="F4" s="252"/>
      <c r="G4" s="252"/>
    </row>
    <row r="5" spans="1:7" ht="15" customHeight="1" x14ac:dyDescent="0.3">
      <c r="A5" s="125"/>
      <c r="B5" s="253" t="s">
        <v>374</v>
      </c>
      <c r="C5" s="254"/>
      <c r="D5" s="253" t="s">
        <v>375</v>
      </c>
      <c r="E5" s="254"/>
      <c r="F5" s="253" t="s">
        <v>376</v>
      </c>
      <c r="G5" s="254"/>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5"/>
      <c r="C28" s="255"/>
      <c r="D28" s="88" t="s">
        <v>17</v>
      </c>
      <c r="E28" s="255"/>
      <c r="F28" s="255"/>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6" t="s">
        <v>163</v>
      </c>
      <c r="G1" s="256"/>
      <c r="H1" s="256"/>
      <c r="I1" s="257" t="s">
        <v>164</v>
      </c>
      <c r="J1" s="257"/>
      <c r="K1" s="257"/>
      <c r="L1" s="258" t="s">
        <v>148</v>
      </c>
      <c r="M1" s="258"/>
      <c r="N1" s="258"/>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62" t="s">
        <v>161</v>
      </c>
      <c r="G3" s="262"/>
      <c r="H3" s="262"/>
      <c r="I3" s="42">
        <f>'ADDITIONAL statistics for SDGs'!B9</f>
        <v>0</v>
      </c>
      <c r="J3" s="43" t="s">
        <v>18</v>
      </c>
      <c r="K3" s="43" t="s">
        <v>18</v>
      </c>
      <c r="L3" s="44" t="e">
        <f>20294/I3</f>
        <v>#DIV/0!</v>
      </c>
      <c r="M3" s="43" t="s">
        <v>18</v>
      </c>
      <c r="N3" s="43" t="s">
        <v>18</v>
      </c>
    </row>
    <row r="4" spans="1:14" ht="43.2" x14ac:dyDescent="0.3">
      <c r="A4" s="259"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9"/>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9"/>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9"/>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9"/>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9"/>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9"/>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9"/>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60"/>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9"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9"/>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9"/>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9"/>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9"/>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9"/>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9"/>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9"/>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9"/>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9"/>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9"/>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9"/>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9"/>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9"/>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60"/>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9" t="s">
        <v>118</v>
      </c>
      <c r="B30" s="6" t="s">
        <v>119</v>
      </c>
      <c r="C30" s="261" t="s">
        <v>120</v>
      </c>
      <c r="D30" s="6"/>
      <c r="E30" s="6"/>
      <c r="F30" s="31"/>
      <c r="G30" s="33"/>
      <c r="H30" s="33"/>
      <c r="I30" s="31"/>
      <c r="J30" s="31"/>
      <c r="K30" s="31"/>
      <c r="L30" s="34"/>
      <c r="M30" s="34"/>
      <c r="N30" s="34"/>
    </row>
    <row r="31" spans="1:14" x14ac:dyDescent="0.3">
      <c r="A31" s="259"/>
      <c r="B31" s="7" t="s">
        <v>3</v>
      </c>
      <c r="C31" s="261"/>
      <c r="D31" s="6" t="s">
        <v>121</v>
      </c>
      <c r="E31" s="6" t="s">
        <v>122</v>
      </c>
      <c r="F31" s="31"/>
      <c r="G31" s="31"/>
      <c r="H31" s="31"/>
      <c r="I31" s="31">
        <f>'ADDITIONAL statistics for SDGs'!$B$31</f>
        <v>0</v>
      </c>
      <c r="J31" s="31"/>
      <c r="K31" s="31"/>
      <c r="L31" s="34" t="e">
        <f t="shared" ref="L31:L39" si="4">F31/I31</f>
        <v>#DIV/0!</v>
      </c>
      <c r="M31" s="31"/>
      <c r="N31" s="31"/>
    </row>
    <row r="32" spans="1:14" x14ac:dyDescent="0.3">
      <c r="A32" s="259"/>
      <c r="B32" s="7" t="s">
        <v>4</v>
      </c>
      <c r="C32" s="261"/>
      <c r="D32" s="6" t="s">
        <v>123</v>
      </c>
      <c r="E32" s="6" t="s">
        <v>122</v>
      </c>
      <c r="F32" s="31"/>
      <c r="G32" s="31"/>
      <c r="H32" s="31"/>
      <c r="I32" s="31">
        <f>'ADDITIONAL statistics for SDGs'!$B$31</f>
        <v>0</v>
      </c>
      <c r="J32" s="31"/>
      <c r="K32" s="31"/>
      <c r="L32" s="34" t="e">
        <f t="shared" si="4"/>
        <v>#DIV/0!</v>
      </c>
      <c r="M32" s="31"/>
      <c r="N32" s="31"/>
    </row>
    <row r="33" spans="1:14" x14ac:dyDescent="0.3">
      <c r="A33" s="259"/>
      <c r="B33" s="7" t="s">
        <v>11</v>
      </c>
      <c r="C33" s="261"/>
      <c r="D33" s="6" t="s">
        <v>124</v>
      </c>
      <c r="E33" s="6" t="s">
        <v>122</v>
      </c>
      <c r="F33" s="31"/>
      <c r="G33" s="31"/>
      <c r="H33" s="31"/>
      <c r="I33" s="31">
        <f>'ADDITIONAL statistics for SDGs'!$B$31</f>
        <v>0</v>
      </c>
      <c r="J33" s="31"/>
      <c r="K33" s="31"/>
      <c r="L33" s="34" t="e">
        <f t="shared" si="4"/>
        <v>#DIV/0!</v>
      </c>
      <c r="M33" s="31"/>
      <c r="N33" s="31"/>
    </row>
    <row r="34" spans="1:14" x14ac:dyDescent="0.3">
      <c r="A34" s="259"/>
      <c r="B34" s="7" t="s">
        <v>5</v>
      </c>
      <c r="C34" s="261"/>
      <c r="D34" s="6" t="s">
        <v>125</v>
      </c>
      <c r="E34" s="6" t="s">
        <v>122</v>
      </c>
      <c r="F34" s="31"/>
      <c r="G34" s="31"/>
      <c r="H34" s="31"/>
      <c r="I34" s="31">
        <f>'ADDITIONAL statistics for SDGs'!$B$31</f>
        <v>0</v>
      </c>
      <c r="J34" s="31"/>
      <c r="K34" s="31"/>
      <c r="L34" s="34" t="e">
        <f t="shared" si="4"/>
        <v>#DIV/0!</v>
      </c>
      <c r="M34" s="31"/>
      <c r="N34" s="31"/>
    </row>
    <row r="35" spans="1:14" ht="28.8" x14ac:dyDescent="0.3">
      <c r="A35" s="259"/>
      <c r="B35" s="6" t="s">
        <v>126</v>
      </c>
      <c r="C35" s="263" t="s">
        <v>127</v>
      </c>
      <c r="D35" s="6"/>
      <c r="E35" s="6"/>
      <c r="F35" s="31"/>
      <c r="G35" s="31"/>
      <c r="H35" s="31"/>
      <c r="I35" s="31"/>
      <c r="J35" s="31"/>
      <c r="K35" s="31"/>
      <c r="L35" s="34"/>
      <c r="M35" s="31"/>
      <c r="N35" s="31"/>
    </row>
    <row r="36" spans="1:14" x14ac:dyDescent="0.3">
      <c r="A36" s="259"/>
      <c r="B36" s="7" t="s">
        <v>3</v>
      </c>
      <c r="C36" s="264"/>
      <c r="D36" s="6" t="s">
        <v>128</v>
      </c>
      <c r="E36" s="6" t="s">
        <v>129</v>
      </c>
      <c r="F36" s="31"/>
      <c r="G36" s="33"/>
      <c r="H36" s="33"/>
      <c r="I36" s="33">
        <f>'ADDITIONAL statistics for SDGs'!$B$30</f>
        <v>0</v>
      </c>
      <c r="J36" s="33"/>
      <c r="K36" s="33"/>
      <c r="L36" s="34" t="e">
        <f t="shared" si="4"/>
        <v>#DIV/0!</v>
      </c>
      <c r="M36" s="33"/>
      <c r="N36" s="33"/>
    </row>
    <row r="37" spans="1:14" x14ac:dyDescent="0.3">
      <c r="A37" s="259"/>
      <c r="B37" s="7" t="s">
        <v>4</v>
      </c>
      <c r="C37" s="264"/>
      <c r="D37" s="6" t="s">
        <v>130</v>
      </c>
      <c r="E37" s="6" t="s">
        <v>129</v>
      </c>
      <c r="F37" s="31"/>
      <c r="G37" s="33"/>
      <c r="H37" s="33"/>
      <c r="I37" s="33">
        <f>'ADDITIONAL statistics for SDGs'!B30</f>
        <v>0</v>
      </c>
      <c r="J37" s="33"/>
      <c r="K37" s="33"/>
      <c r="L37" s="34" t="e">
        <f t="shared" si="4"/>
        <v>#DIV/0!</v>
      </c>
      <c r="M37" s="33"/>
      <c r="N37" s="33"/>
    </row>
    <row r="38" spans="1:14" x14ac:dyDescent="0.3">
      <c r="A38" s="259"/>
      <c r="B38" s="7" t="s">
        <v>11</v>
      </c>
      <c r="C38" s="264"/>
      <c r="D38" s="6" t="s">
        <v>131</v>
      </c>
      <c r="E38" s="6" t="s">
        <v>129</v>
      </c>
      <c r="F38" s="31"/>
      <c r="G38" s="33"/>
      <c r="H38" s="33"/>
      <c r="I38" s="33">
        <f>'ADDITIONAL statistics for SDGs'!B30</f>
        <v>0</v>
      </c>
      <c r="J38" s="33"/>
      <c r="K38" s="33"/>
      <c r="L38" s="34" t="e">
        <f t="shared" si="4"/>
        <v>#DIV/0!</v>
      </c>
      <c r="M38" s="33"/>
      <c r="N38" s="33"/>
    </row>
    <row r="39" spans="1:14" x14ac:dyDescent="0.3">
      <c r="A39" s="259"/>
      <c r="B39" s="7" t="s">
        <v>5</v>
      </c>
      <c r="C39" s="264"/>
      <c r="D39" s="6" t="s">
        <v>132</v>
      </c>
      <c r="E39" s="6" t="s">
        <v>129</v>
      </c>
      <c r="F39" s="31"/>
      <c r="G39" s="33"/>
      <c r="H39" s="33"/>
      <c r="I39" s="33">
        <f>'ADDITIONAL statistics for SDGs'!B30</f>
        <v>0</v>
      </c>
      <c r="J39" s="33"/>
      <c r="K39" s="33"/>
      <c r="L39" s="34" t="e">
        <f t="shared" si="4"/>
        <v>#DIV/0!</v>
      </c>
      <c r="M39" s="33"/>
      <c r="N39" s="33"/>
    </row>
    <row r="40" spans="1:14" x14ac:dyDescent="0.3">
      <c r="A40" s="259"/>
      <c r="C40" s="265"/>
      <c r="D40" s="6"/>
      <c r="E40" s="6"/>
      <c r="F40" s="31"/>
      <c r="G40" s="33"/>
      <c r="H40" s="33"/>
      <c r="I40" s="33"/>
      <c r="J40" s="33"/>
      <c r="K40" s="33"/>
      <c r="L40" s="34"/>
      <c r="M40" s="33"/>
      <c r="N40" s="33"/>
    </row>
    <row r="41" spans="1:14" ht="28.8" x14ac:dyDescent="0.3">
      <c r="A41" s="259"/>
      <c r="B41" s="6" t="s">
        <v>133</v>
      </c>
      <c r="C41" s="261" t="s">
        <v>171</v>
      </c>
      <c r="D41" s="6"/>
      <c r="E41" s="6"/>
      <c r="F41" s="31"/>
      <c r="G41" s="33"/>
      <c r="H41" s="33"/>
      <c r="I41" s="33"/>
      <c r="J41" s="33"/>
      <c r="K41" s="33"/>
      <c r="L41" s="34"/>
      <c r="M41" s="33"/>
      <c r="N41" s="33"/>
    </row>
    <row r="42" spans="1:14" x14ac:dyDescent="0.3">
      <c r="A42" s="259"/>
      <c r="B42" s="7" t="s">
        <v>3</v>
      </c>
      <c r="C42" s="261"/>
      <c r="D42" s="6" t="s">
        <v>134</v>
      </c>
      <c r="E42" s="6" t="s">
        <v>135</v>
      </c>
      <c r="F42" s="31"/>
      <c r="G42" s="33"/>
      <c r="H42" s="33"/>
      <c r="I42" s="33">
        <f>'Info Pauvreté'!B23</f>
        <v>0</v>
      </c>
      <c r="J42" s="33"/>
      <c r="K42" s="33"/>
      <c r="L42" s="34" t="e">
        <f>F42/I42</f>
        <v>#DIV/0!</v>
      </c>
      <c r="M42" s="33"/>
      <c r="N42" s="33"/>
    </row>
    <row r="43" spans="1:14" x14ac:dyDescent="0.3">
      <c r="A43" s="259"/>
      <c r="B43" s="7" t="s">
        <v>4</v>
      </c>
      <c r="C43" s="261"/>
      <c r="D43" s="6" t="s">
        <v>136</v>
      </c>
      <c r="E43" s="6" t="s">
        <v>137</v>
      </c>
      <c r="F43" s="31"/>
      <c r="G43" s="33"/>
      <c r="H43" s="33"/>
      <c r="I43" s="33">
        <f>'Info Pauvreté'!B22</f>
        <v>0</v>
      </c>
      <c r="J43" s="33"/>
      <c r="K43" s="33"/>
      <c r="L43" s="34" t="e">
        <f t="shared" ref="L43:L50" si="5">F43/I43</f>
        <v>#DIV/0!</v>
      </c>
      <c r="M43" s="33"/>
      <c r="N43" s="33"/>
    </row>
    <row r="44" spans="1:14" x14ac:dyDescent="0.3">
      <c r="A44" s="259"/>
      <c r="B44" s="7" t="s">
        <v>16</v>
      </c>
      <c r="C44" s="261"/>
      <c r="D44" s="6" t="s">
        <v>138</v>
      </c>
      <c r="E44" s="6" t="s">
        <v>139</v>
      </c>
      <c r="F44" s="31"/>
      <c r="G44" s="33"/>
      <c r="H44" s="33"/>
      <c r="I44" s="33">
        <f>'Info Pauvreté'!B21</f>
        <v>0</v>
      </c>
      <c r="J44" s="33"/>
      <c r="K44" s="33"/>
      <c r="L44" s="34" t="e">
        <f t="shared" si="5"/>
        <v>#DIV/0!</v>
      </c>
      <c r="M44" s="33"/>
      <c r="N44" s="33"/>
    </row>
    <row r="45" spans="1:14" ht="28.8" x14ac:dyDescent="0.3">
      <c r="A45" s="259"/>
      <c r="B45" s="7" t="s">
        <v>140</v>
      </c>
      <c r="C45" s="261"/>
      <c r="D45" s="6" t="s">
        <v>141</v>
      </c>
      <c r="E45" s="6" t="s">
        <v>137</v>
      </c>
      <c r="F45" s="31"/>
      <c r="G45" s="33"/>
      <c r="H45" s="33"/>
      <c r="I45" s="33">
        <f>'Info Pauvreté'!B22</f>
        <v>0</v>
      </c>
      <c r="J45" s="33"/>
      <c r="K45" s="33"/>
      <c r="L45" s="34" t="e">
        <f t="shared" si="5"/>
        <v>#DIV/0!</v>
      </c>
      <c r="M45" s="33"/>
      <c r="N45" s="33"/>
    </row>
    <row r="46" spans="1:14" ht="28.8" x14ac:dyDescent="0.3">
      <c r="A46" s="259"/>
      <c r="B46" s="6" t="s">
        <v>142</v>
      </c>
      <c r="C46" s="261" t="s">
        <v>143</v>
      </c>
      <c r="D46" s="6"/>
      <c r="E46" s="6"/>
      <c r="F46" s="31"/>
      <c r="G46" s="33"/>
      <c r="H46" s="33"/>
      <c r="I46" s="33"/>
      <c r="J46" s="33"/>
      <c r="K46" s="33"/>
      <c r="L46" s="34"/>
      <c r="M46" s="33"/>
      <c r="N46" s="33"/>
    </row>
    <row r="47" spans="1:14" x14ac:dyDescent="0.3">
      <c r="A47" s="259"/>
      <c r="B47" s="7" t="s">
        <v>3</v>
      </c>
      <c r="C47" s="261"/>
      <c r="D47" s="6" t="s">
        <v>134</v>
      </c>
      <c r="E47" s="6" t="s">
        <v>144</v>
      </c>
      <c r="F47" s="31"/>
      <c r="G47" s="33"/>
      <c r="H47" s="33"/>
      <c r="I47" s="33">
        <f>'Info Pauvreté'!B20</f>
        <v>0</v>
      </c>
      <c r="J47" s="33"/>
      <c r="K47" s="33"/>
      <c r="L47" s="34" t="e">
        <f t="shared" si="5"/>
        <v>#DIV/0!</v>
      </c>
      <c r="M47" s="33"/>
      <c r="N47" s="33"/>
    </row>
    <row r="48" spans="1:14" x14ac:dyDescent="0.3">
      <c r="A48" s="259"/>
      <c r="B48" s="7" t="s">
        <v>4</v>
      </c>
      <c r="C48" s="261"/>
      <c r="D48" s="6" t="s">
        <v>136</v>
      </c>
      <c r="E48" s="6" t="s">
        <v>145</v>
      </c>
      <c r="F48" s="31"/>
      <c r="G48" s="33"/>
      <c r="H48" s="33"/>
      <c r="I48" s="33">
        <f>'Info Pauvreté'!B19</f>
        <v>0</v>
      </c>
      <c r="J48" s="33"/>
      <c r="K48" s="33"/>
      <c r="L48" s="34" t="e">
        <f t="shared" si="5"/>
        <v>#DIV/0!</v>
      </c>
      <c r="M48" s="33"/>
      <c r="N48" s="33"/>
    </row>
    <row r="49" spans="1:14" x14ac:dyDescent="0.3">
      <c r="A49" s="259"/>
      <c r="B49" s="7" t="s">
        <v>16</v>
      </c>
      <c r="C49" s="261"/>
      <c r="D49" s="6" t="s">
        <v>138</v>
      </c>
      <c r="E49" s="6" t="s">
        <v>146</v>
      </c>
      <c r="F49" s="31"/>
      <c r="G49" s="33"/>
      <c r="H49" s="33"/>
      <c r="I49" s="33">
        <f>'Info Pauvreté'!B18</f>
        <v>0</v>
      </c>
      <c r="J49" s="33"/>
      <c r="K49" s="33"/>
      <c r="L49" s="34" t="e">
        <f t="shared" si="5"/>
        <v>#DIV/0!</v>
      </c>
      <c r="M49" s="33"/>
      <c r="N49" s="33"/>
    </row>
    <row r="50" spans="1:14" ht="28.8" x14ac:dyDescent="0.3">
      <c r="A50" s="259"/>
      <c r="B50" s="7" t="s">
        <v>140</v>
      </c>
      <c r="C50" s="261"/>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2026-09-03T06:37:18Z</dcterms:modified>
</cp:coreProperties>
</file>