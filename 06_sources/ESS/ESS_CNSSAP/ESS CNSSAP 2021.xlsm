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panyakangodie\Documents\ILO BIT OIT\"/>
    </mc:Choice>
  </mc:AlternateContent>
  <bookViews>
    <workbookView xWindow="-120" yWindow="-120" windowWidth="20730" windowHeight="11160" activeTab="1"/>
  </bookViews>
  <sheets>
    <sheet name="INSTRUCTIONS" sheetId="38" r:id="rId1"/>
    <sheet name="Inventaire des régimes" sheetId="9" r:id="rId2"/>
    <sheet name="CNSAP Régime de base" sheetId="15" r:id="rId3"/>
    <sheet name="Régime 11" sheetId="263" state="hidden" r:id="rId4"/>
    <sheet name="Régime 12" sheetId="262" state="hidden" r:id="rId5"/>
    <sheet name="Régime 13" sheetId="261" state="hidden" r:id="rId6"/>
    <sheet name="Régime 14" sheetId="260" state="hidden" r:id="rId7"/>
    <sheet name="Régime 15" sheetId="259" state="hidden" r:id="rId8"/>
    <sheet name="Régime 16" sheetId="258" state="hidden" r:id="rId9"/>
    <sheet name="Régime 17" sheetId="257" state="hidden" r:id="rId10"/>
    <sheet name="Régime 18" sheetId="256" state="hidden" r:id="rId11"/>
    <sheet name="Régime 19" sheetId="255" state="hidden" r:id="rId12"/>
    <sheet name="Régime 20" sheetId="254" state="hidden" r:id="rId13"/>
    <sheet name="Régime 21" sheetId="253" state="hidden" r:id="rId14"/>
    <sheet name="Régime 22" sheetId="252" state="hidden" r:id="rId15"/>
    <sheet name="Régime 23" sheetId="251" state="hidden" r:id="rId16"/>
    <sheet name="Régime 24" sheetId="250" state="hidden" r:id="rId17"/>
    <sheet name="Régime 25" sheetId="249" state="hidden" r:id="rId18"/>
    <sheet name="Régime 26" sheetId="248" state="hidden" r:id="rId19"/>
    <sheet name="Régime 27" sheetId="247" state="hidden" r:id="rId20"/>
    <sheet name="Régime 28" sheetId="246" state="hidden" r:id="rId21"/>
    <sheet name="Régime 29" sheetId="245" state="hidden" r:id="rId22"/>
    <sheet name="Régime 30" sheetId="244" state="hidden" r:id="rId23"/>
    <sheet name="Régime 31" sheetId="243" state="hidden" r:id="rId24"/>
    <sheet name="Régime 32" sheetId="242" state="hidden" r:id="rId25"/>
    <sheet name="Régime 33" sheetId="241" state="hidden" r:id="rId26"/>
    <sheet name="Régime 34" sheetId="240" state="hidden" r:id="rId27"/>
    <sheet name="Régime 35" sheetId="239" state="hidden" r:id="rId28"/>
    <sheet name="Régime 36" sheetId="238" state="hidden" r:id="rId29"/>
    <sheet name="Régime 37" sheetId="237" state="hidden" r:id="rId30"/>
    <sheet name="Régime 38" sheetId="236" state="hidden" r:id="rId31"/>
    <sheet name="Régime 39" sheetId="235" state="hidden" r:id="rId32"/>
    <sheet name="Régime 40" sheetId="234" state="hidden" r:id="rId33"/>
    <sheet name="ADDITIONAL statistics for SDGs" sheetId="36" state="hidden" r:id="rId34"/>
    <sheet name="CALCULATIONS" sheetId="37" state="hidden" r:id="rId3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 name="_xlnm.Print_Area" localSheetId="0">INSTRUCTIONS!$B$1:$C$60</definedName>
    <definedName name="_xlnm.Print_Area" localSheetId="1">'Inventaire des régimes'!$A$1:$AI$6</definedName>
  </definedNames>
  <calcPr calcId="162913"/>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63" l="1"/>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authors>
    <author>Nesterenko, Valeria</author>
    <author>Yu, Zhiming</author>
  </authors>
  <commentList>
    <comment ref="B6" authorId="0" shapeId="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<sst xmlns="http://schemas.openxmlformats.org/spreadsheetml/2006/main" count="2215" uniqueCount="305">
  <si>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</si>
  <si>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</si>
  <si>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</si>
  <si>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</si>
  <si>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</si>
  <si>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</si>
  <si>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</si>
  <si>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</si>
  <si>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</si>
  <si>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</si>
  <si>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</si>
  <si>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</si>
  <si>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</si>
  <si>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</si>
  <si>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</si>
  <si>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</si>
  <si>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</si>
  <si>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</si>
  <si>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</si>
  <si>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</si>
  <si>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</si>
  <si>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</si>
  <si>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</si>
  <si>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</si>
  <si>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</si>
  <si>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</si>
  <si>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</si>
  <si>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</si>
  <si>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</si>
  <si>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</si>
  <si>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</si>
  <si>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</si>
  <si>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</si>
  <si>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</si>
  <si>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</si>
  <si>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</si>
  <si>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</si>
  <si>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</si>
  <si>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</si>
  <si>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</si>
  <si>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</si>
  <si>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</si>
  <si>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</si>
  <si>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</si>
  <si>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</si>
  <si>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</si>
  <si>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</si>
  <si>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</si>
  <si>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</si>
  <si>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</si>
  <si>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</si>
  <si>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</si>
  <si>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</si>
  <si>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</si>
  <si>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</si>
  <si>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</si>
  <si>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</si>
  <si>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</si>
  <si>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</si>
  <si>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</si>
  <si>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</si>
  <si>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</si>
  <si>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</si>
  <si>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</si>
  <si>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</si>
  <si>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</si>
  <si>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</si>
  <si>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</si>
  <si>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</si>
  <si>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</si>
  <si>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</si>
  <si>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</si>
  <si>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</si>
  <si>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</si>
  <si>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</si>
  <si>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</si>
  <si>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</si>
  <si>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</si>
  <si>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</si>
  <si>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</si>
  <si>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</si>
  <si>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</si>
  <si>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</si>
  <si>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</si>
  <si>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</si>
  <si>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</si>
  <si>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</si>
  <si>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</si>
  <si>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</si>
  <si>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</si>
  <si>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</si>
  <si>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</si>
  <si>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</si>
  <si>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</si>
  <si>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</si>
  <si>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</si>
  <si>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</si>
  <si>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</si>
  <si>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</si>
  <si>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</si>
  <si>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</si>
  <si>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</si>
  <si>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</si>
  <si>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</si>
  <si>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</si>
  <si>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</si>
  <si>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</si>
  <si>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</si>
  <si>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</si>
  <si>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</si>
  <si>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</si>
  <si>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</si>
  <si>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</si>
  <si>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</si>
  <si>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</si>
  <si>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</si>
  <si>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</si>
  <si>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</si>
  <si>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</si>
  <si>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</si>
  <si>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</si>
  <si>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</si>
  <si>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</si>
  <si>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</si>
  <si>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</si>
  <si>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</si>
  <si>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</si>
  <si>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</si>
  <si>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</si>
  <si>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</si>
  <si>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</si>
  <si>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</si>
  <si>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</si>
  <si>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</si>
  <si>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</si>
  <si>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</si>
  <si>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</si>
  <si>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</si>
  <si>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</si>
  <si>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</si>
  <si>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</si>
  <si>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</si>
  <si>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</si>
  <si>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</si>
  <si>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</si>
  <si>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</si>
  <si>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</si>
  <si>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</si>
  <si>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</si>
  <si>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</si>
  <si>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</si>
  <si>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</si>
  <si>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</si>
  <si>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</si>
  <si>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</si>
  <si>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</si>
  <si>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</si>
  <si>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</si>
  <si>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</si>
  <si>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</si>
  <si>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</si>
  <si>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</si>
  <si>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</si>
  <si>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</si>
  <si>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</si>
  <si>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</si>
  <si>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</si>
  <si>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</si>
  <si>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</si>
  <si>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</si>
  <si>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</si>
  <si>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</si>
  <si>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</si>
  <si>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</si>
  <si>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</si>
  <si>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</si>
  <si>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</si>
  <si>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</si>
  <si>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</si>
  <si>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</si>
  <si>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</si>
  <si>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</si>
  <si>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</si>
  <si>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</si>
  <si>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</si>
  <si>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</si>
  <si>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</si>
  <si>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</si>
  <si>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</si>
  <si>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</si>
  <si>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</si>
  <si>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</si>
  <si>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</si>
  <si>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</si>
  <si>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</si>
  <si>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</si>
  <si>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</si>
  <si>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</si>
  <si>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</si>
  <si>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</si>
  <si>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</si>
  <si>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</si>
  <si>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</si>
  <si>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</si>
  <si>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</si>
  <si>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</si>
  <si>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</si>
  <si>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</si>
  <si>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</si>
  <si>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</si>
  <si>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</si>
  <si>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</si>
  <si>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</si>
  <si>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</si>
  <si>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</si>
  <si>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</si>
  <si>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</si>
  <si>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</si>
  <si>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</si>
  <si>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</si>
  <si>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</si>
  <si>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</si>
  <si>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</si>
  <si>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</si>
  <si>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</si>
  <si>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</si>
  <si>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</si>
  <si>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</si>
  <si>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</si>
  <si>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</si>
  <si>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</si>
  <si>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</si>
  <si>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</si>
  <si>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</si>
  <si>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</si>
  <si>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</si>
  <si>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</si>
  <si>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</si>
  <si>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</si>
  <si>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</si>
  <si>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</si>
  <si>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</si>
  <si>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</si>
  <si>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</si>
  <si>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</si>
  <si>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</si>
  <si>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</si>
  <si>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</si>
  <si>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</si>
  <si>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</si>
  <si>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</si>
  <si>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</si>
  <si>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</si>
  <si>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</si>
  <si>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</si>
  <si>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</si>
  <si>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</si>
  <si>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</si>
  <si>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</si>
  <si>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</si>
  <si>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</si>
  <si>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</si>
  <si>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</si>
  <si>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</si>
  <si>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</si>
  <si>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</si>
  <si>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</si>
  <si>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</si>
  <si>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</si>
  <si>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</si>
  <si>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</si>
  <si>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</si>
  <si>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</si>
  <si>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</si>
  <si>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</si>
  <si>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</si>
  <si>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</si>
  <si>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</si>
  <si>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</si>
  <si>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</si>
  <si>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</si>
  <si>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</si>
  <si>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</si>
  <si>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</si>
  <si>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</si>
  <si>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</si>
  <si>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</si>
  <si>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</si>
  <si>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</si>
  <si>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</si>
  <si>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</si>
  <si>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</si>
  <si>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</si>
  <si>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 xml:space="preserve">Branche des pensions </t>
  </si>
  <si>
    <t>CNSAP Régime de base</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</si>
  <si>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</si>
  <si>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</si>
  <si>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</si>
  <si>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</si>
  <si>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</si>
  <si>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</si>
  <si>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</si>
  <si>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</si>
  <si>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190 545</t>
  </si>
  <si>
    <t>5 876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</si>
</sst>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_-;\-* #,##0_-;_-* &quot;-&quot;??_-;_-@_-"/>
    <numFmt numFmtId="165" formatCode="0.0"/>
    <numFmt numFmtId="166"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27">
    <xf numFmtId="0" fontId="0" fillId="0" borderId="0" xfId="0"/>
    <xf numFmtId="0" fontId="0" fillId="0" borderId="0" xfId="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Fill="1" applyBorder="1" applyAlignment="1">
      <alignment vertical="center" wrapText="1"/>
    </xf>
    <xf numFmtId="165" fontId="13" fillId="0" borderId="6" xfId="0" applyNumberFormat="1" applyFont="1" applyFill="1" applyBorder="1" applyAlignment="1">
      <alignment vertical="center" wrapText="1"/>
    </xf>
    <xf numFmtId="0" fontId="0" fillId="0" borderId="0" xfId="0" applyFont="1" applyAlignment="1">
      <alignment wrapText="1"/>
    </xf>
    <xf numFmtId="0" fontId="0" fillId="0" borderId="6" xfId="0" applyFont="1" applyBorder="1" applyAlignment="1">
      <alignment vertical="center" wrapText="1"/>
    </xf>
    <xf numFmtId="0" fontId="0" fillId="0" borderId="6" xfId="0" applyFont="1" applyBorder="1" applyAlignment="1">
      <alignment wrapText="1"/>
    </xf>
    <xf numFmtId="0" fontId="0" fillId="0" borderId="6" xfId="0" applyFont="1" applyBorder="1" applyAlignment="1">
      <alignment horizontal="left" wrapText="1" indent="10"/>
    </xf>
    <xf numFmtId="9" fontId="0" fillId="0" borderId="0" xfId="4" applyFont="1" applyAlignment="1">
      <alignment wrapText="1"/>
    </xf>
    <xf numFmtId="0" fontId="0" fillId="0" borderId="6" xfId="0" applyFont="1" applyFill="1" applyBorder="1" applyAlignment="1">
      <alignment wrapText="1"/>
    </xf>
    <xf numFmtId="1" fontId="0" fillId="4" borderId="6" xfId="0" applyNumberFormat="1" applyFon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ont="1" applyFill="1" applyBorder="1" applyAlignment="1"/>
    <xf numFmtId="1" fontId="0" fillId="4" borderId="4" xfId="0" applyNumberFormat="1" applyFont="1" applyFill="1" applyBorder="1" applyAlignment="1"/>
    <xf numFmtId="1" fontId="0" fillId="4" borderId="8" xfId="0" applyNumberFormat="1" applyFont="1" applyFill="1" applyBorder="1" applyAlignment="1"/>
    <xf numFmtId="0" fontId="0" fillId="4" borderId="8" xfId="0" applyFont="1" applyFill="1" applyBorder="1" applyAlignment="1"/>
    <xf numFmtId="0" fontId="0" fillId="4" borderId="4" xfId="0" applyFont="1" applyFill="1" applyBorder="1"/>
    <xf numFmtId="1" fontId="0" fillId="4" borderId="4" xfId="0" applyNumberFormat="1" applyFont="1" applyFill="1" applyBorder="1"/>
    <xf numFmtId="1" fontId="0" fillId="4" borderId="8" xfId="0" applyNumberFormat="1" applyFont="1" applyFill="1" applyBorder="1"/>
    <xf numFmtId="0" fontId="0" fillId="4" borderId="1" xfId="0" applyFont="1" applyFill="1" applyBorder="1"/>
    <xf numFmtId="1" fontId="0" fillId="4" borderId="1" xfId="0" applyNumberFormat="1" applyFont="1" applyFill="1" applyBorder="1"/>
    <xf numFmtId="1" fontId="0" fillId="0" borderId="0" xfId="0" applyNumberFormat="1" applyFont="1" applyAlignment="1">
      <alignment wrapText="1"/>
    </xf>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Font="1" applyBorder="1" applyAlignment="1">
      <alignment horizontal="center" vertical="center" wrapText="1"/>
    </xf>
    <xf numFmtId="9" fontId="0" fillId="0" borderId="13" xfId="4" applyFont="1" applyBorder="1" applyAlignment="1">
      <alignment horizontal="center" vertical="center" wrapText="1"/>
    </xf>
    <xf numFmtId="0" fontId="0" fillId="0" borderId="6" xfId="0" applyFont="1" applyBorder="1" applyAlignment="1">
      <alignment horizontal="center" vertical="center" wrapText="1"/>
    </xf>
    <xf numFmtId="9" fontId="0" fillId="0" borderId="6" xfId="4" applyFont="1" applyBorder="1" applyAlignment="1">
      <alignment horizontal="center" vertical="center" wrapText="1"/>
    </xf>
    <xf numFmtId="0" fontId="0" fillId="0" borderId="6" xfId="0"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Fill="1" applyBorder="1" applyAlignment="1">
      <alignment horizontal="center"/>
    </xf>
    <xf numFmtId="1" fontId="0" fillId="0" borderId="6" xfId="0" applyNumberFormat="1" applyFont="1" applyBorder="1" applyAlignment="1">
      <alignment horizontal="center" wrapText="1"/>
    </xf>
    <xf numFmtId="0" fontId="0" fillId="0" borderId="6" xfId="0" applyFont="1" applyBorder="1" applyAlignment="1">
      <alignment horizontal="center" wrapText="1"/>
    </xf>
    <xf numFmtId="9" fontId="0" fillId="0" borderId="6" xfId="4" applyFont="1" applyBorder="1" applyAlignment="1">
      <alignment horizontal="center" wrapText="1"/>
    </xf>
    <xf numFmtId="0" fontId="0" fillId="0" borderId="13" xfId="0" applyFont="1" applyBorder="1" applyAlignment="1">
      <alignment wrapText="1"/>
    </xf>
    <xf numFmtId="0" fontId="13" fillId="0" borderId="15" xfId="0" applyFont="1" applyFill="1" applyBorder="1" applyAlignment="1">
      <alignment vertical="center" wrapText="1"/>
    </xf>
    <xf numFmtId="0" fontId="0" fillId="0" borderId="15" xfId="0" applyFont="1" applyBorder="1" applyAlignment="1">
      <alignment vertical="center" wrapText="1"/>
    </xf>
    <xf numFmtId="1" fontId="0" fillId="0" borderId="15" xfId="0" applyNumberFormat="1" applyFon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Fill="1" applyBorder="1" applyAlignment="1">
      <alignment vertical="center" wrapText="1"/>
    </xf>
    <xf numFmtId="0" fontId="0" fillId="0" borderId="8" xfId="0" applyFont="1" applyBorder="1" applyAlignment="1">
      <alignmen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applyAlignment="1"/>
    <xf numFmtId="0" fontId="0" fillId="0" borderId="13" xfId="0" applyBorder="1" applyAlignment="1">
      <alignment wrapText="1"/>
    </xf>
    <xf numFmtId="1" fontId="0" fillId="0" borderId="13" xfId="0" applyNumberFormat="1" applyBorder="1" applyAlignment="1">
      <alignment horizontal="center" wrapText="1"/>
    </xf>
    <xf numFmtId="0" fontId="0" fillId="0" borderId="13" xfId="0" applyBorder="1" applyAlignment="1">
      <alignment horizontal="center" wrapText="1"/>
    </xf>
    <xf numFmtId="1" fontId="0" fillId="0" borderId="13" xfId="0" applyNumberFormat="1" applyFont="1" applyBorder="1" applyAlignment="1">
      <alignment horizontal="center" wrapText="1"/>
    </xf>
    <xf numFmtId="0" fontId="0" fillId="0" borderId="13" xfId="0" applyFont="1" applyBorder="1" applyAlignment="1">
      <alignment horizontal="center" wrapText="1"/>
    </xf>
    <xf numFmtId="9" fontId="0" fillId="0" borderId="13" xfId="4" applyFont="1" applyBorder="1" applyAlignment="1">
      <alignment horizontal="center" wrapText="1"/>
    </xf>
    <xf numFmtId="0" fontId="0" fillId="0" borderId="15" xfId="0" applyFont="1" applyBorder="1" applyAlignment="1">
      <alignment wrapText="1"/>
    </xf>
    <xf numFmtId="0" fontId="0" fillId="0" borderId="0" xfId="0"/>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Fill="1" applyAlignment="1">
      <alignment vertical="top"/>
    </xf>
    <xf numFmtId="0" fontId="21" fillId="0" borderId="0" xfId="0" applyFont="1" applyFill="1" applyBorder="1" applyAlignment="1">
      <alignment horizontal="center" vertical="top"/>
    </xf>
    <xf numFmtId="0" fontId="21" fillId="0" borderId="0" xfId="0" applyFont="1" applyAlignment="1">
      <alignment horizontal="center" vertical="top"/>
    </xf>
    <xf numFmtId="0" fontId="21" fillId="0" borderId="0" xfId="0" applyFont="1" applyFill="1" applyBorder="1" applyAlignment="1">
      <alignment horizontal="left" vertical="top"/>
    </xf>
    <xf numFmtId="0" fontId="21" fillId="0" borderId="0" xfId="0" applyFont="1" applyFill="1" applyBorder="1" applyAlignment="1">
      <alignment vertical="top"/>
    </xf>
    <xf numFmtId="0" fontId="21" fillId="0" borderId="0" xfId="0" applyFont="1" applyBorder="1" applyAlignment="1">
      <alignment vertical="top"/>
    </xf>
    <xf numFmtId="0" fontId="21" fillId="0" borderId="0" xfId="0" applyFont="1" applyBorder="1" applyAlignment="1">
      <alignment horizontal="left" vertical="top"/>
    </xf>
    <xf numFmtId="0" fontId="21" fillId="3" borderId="0" xfId="0" applyFont="1" applyFill="1" applyAlignment="1">
      <alignment vertical="top"/>
    </xf>
    <xf numFmtId="0" fontId="21" fillId="3" borderId="0" xfId="0" applyFont="1" applyFill="1" applyBorder="1" applyAlignment="1">
      <alignment horizontal="left" vertical="top"/>
    </xf>
    <xf numFmtId="0" fontId="21" fillId="3" borderId="0" xfId="0" applyFont="1" applyFill="1" applyAlignment="1">
      <alignment vertical="top" wrapText="1"/>
    </xf>
    <xf numFmtId="0" fontId="21" fillId="3" borderId="0" xfId="0" applyFont="1" applyFill="1" applyAlignment="1">
      <alignment horizontal="left" vertical="top"/>
    </xf>
    <xf numFmtId="0" fontId="21" fillId="3" borderId="0" xfId="0" applyFont="1" applyFill="1" applyBorder="1" applyAlignment="1">
      <alignment vertical="top"/>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applyProtection="1"/>
    <xf numFmtId="0" fontId="21" fillId="3" borderId="0" xfId="0" applyFont="1" applyFill="1" applyBorder="1" applyAlignment="1" applyProtection="1">
      <alignment horizontal="center" vertical="top"/>
    </xf>
    <xf numFmtId="0" fontId="21" fillId="3" borderId="0" xfId="0" applyFont="1" applyFill="1" applyAlignment="1" applyProtection="1">
      <alignment vertical="top"/>
    </xf>
    <xf numFmtId="0" fontId="21" fillId="3" borderId="0" xfId="0" applyFont="1" applyFill="1" applyAlignment="1" applyProtection="1">
      <alignment horizontal="center" vertical="top"/>
    </xf>
    <xf numFmtId="0" fontId="21" fillId="3" borderId="0" xfId="0" applyFont="1" applyFill="1" applyBorder="1" applyProtection="1"/>
    <xf numFmtId="0" fontId="29" fillId="9" borderId="6" xfId="0" applyFont="1" applyFill="1" applyBorder="1" applyAlignment="1" applyProtection="1">
      <alignment horizontal="center"/>
    </xf>
    <xf numFmtId="0" fontId="26" fillId="3" borderId="0" xfId="0" applyFont="1" applyFill="1" applyAlignment="1" applyProtection="1">
      <alignment horizontal="left" vertical="top"/>
    </xf>
    <xf numFmtId="0" fontId="33" fillId="2" borderId="5" xfId="0" applyFont="1" applyFill="1" applyBorder="1" applyAlignment="1" applyProtection="1">
      <alignment vertical="center" wrapText="1"/>
    </xf>
    <xf numFmtId="0" fontId="33" fillId="2" borderId="5" xfId="0" applyFont="1" applyFill="1" applyBorder="1" applyAlignment="1" applyProtection="1">
      <alignment vertical="center"/>
    </xf>
    <xf numFmtId="0" fontId="33" fillId="2" borderId="2" xfId="0" applyFont="1" applyFill="1" applyBorder="1" applyAlignment="1" applyProtection="1">
      <alignment vertical="center"/>
    </xf>
    <xf numFmtId="0" fontId="33" fillId="2" borderId="3" xfId="0" applyFont="1" applyFill="1" applyBorder="1" applyAlignment="1" applyProtection="1">
      <alignment vertical="center"/>
    </xf>
    <xf numFmtId="0" fontId="21" fillId="3" borderId="0" xfId="0" applyFont="1" applyFill="1" applyAlignment="1" applyProtection="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pplyProtection="1">
      <alignment horizontal="left" vertical="top"/>
    </xf>
    <xf numFmtId="0" fontId="23" fillId="16" borderId="0" xfId="0" applyFont="1" applyFill="1" applyBorder="1" applyAlignment="1" applyProtection="1">
      <alignment horizontal="left" vertical="top" wrapText="1"/>
      <protection locked="0"/>
    </xf>
    <xf numFmtId="0" fontId="20" fillId="0" borderId="0" xfId="0" applyFont="1" applyFill="1" applyBorder="1" applyAlignment="1">
      <alignment horizontal="right" vertical="top"/>
    </xf>
    <xf numFmtId="0" fontId="21" fillId="3" borderId="0" xfId="0" applyFont="1" applyFill="1" applyAlignment="1" applyProtection="1">
      <alignment vertical="top"/>
      <protection locked="0"/>
    </xf>
    <xf numFmtId="0" fontId="21" fillId="3" borderId="0" xfId="0" applyFont="1" applyFill="1" applyBorder="1" applyAlignment="1" applyProtection="1">
      <alignment horizontal="left" vertical="top"/>
      <protection locked="0"/>
    </xf>
    <xf numFmtId="0" fontId="21" fillId="0" borderId="0" xfId="0" applyFont="1" applyFill="1" applyBorder="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pplyProtection="1">
      <alignment vertical="center"/>
    </xf>
    <xf numFmtId="0" fontId="29" fillId="3" borderId="0" xfId="0" applyFont="1" applyFill="1" applyAlignment="1" applyProtection="1">
      <alignment horizontal="right" vertical="top"/>
    </xf>
    <xf numFmtId="0" fontId="20" fillId="0" borderId="0" xfId="0" applyFont="1" applyFill="1" applyBorder="1" applyAlignment="1">
      <alignment horizontal="left" vertical="top"/>
    </xf>
    <xf numFmtId="0" fontId="21" fillId="0" borderId="0" xfId="0" applyFont="1" applyAlignment="1">
      <alignment horizontal="left" vertical="top"/>
    </xf>
    <xf numFmtId="0" fontId="26" fillId="3" borderId="11" xfId="0" applyFont="1" applyFill="1" applyBorder="1" applyAlignment="1" applyProtection="1">
      <alignment horizontal="center"/>
    </xf>
    <xf numFmtId="0" fontId="26" fillId="0" borderId="11" xfId="0" applyFont="1" applyBorder="1" applyAlignment="1" applyProtection="1">
      <alignment horizontal="center"/>
      <protection locked="0"/>
    </xf>
    <xf numFmtId="0" fontId="21" fillId="3" borderId="0" xfId="0" applyFont="1" applyFill="1" applyBorder="1" applyAlignment="1" applyProtection="1">
      <alignment horizontal="left" vertical="top"/>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xf>
    <xf numFmtId="164"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Border="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pplyProtection="1">
      <alignment horizontal="center" textRotation="90" wrapText="1"/>
    </xf>
    <xf numFmtId="0" fontId="21" fillId="6" borderId="8" xfId="0" applyFont="1" applyFill="1" applyBorder="1" applyAlignment="1" applyProtection="1">
      <alignment horizontal="center" vertical="center" wrapText="1"/>
    </xf>
    <xf numFmtId="0" fontId="21" fillId="6" borderId="6" xfId="0" applyFont="1" applyFill="1" applyBorder="1" applyAlignment="1" applyProtection="1">
      <alignment horizontal="center" vertical="center" wrapText="1"/>
    </xf>
    <xf numFmtId="0" fontId="21" fillId="6" borderId="1" xfId="0" applyFont="1" applyFill="1" applyBorder="1" applyAlignment="1" applyProtection="1">
      <alignment horizontal="center" vertical="center" wrapText="1"/>
    </xf>
    <xf numFmtId="0" fontId="21" fillId="6" borderId="0" xfId="0" applyFont="1" applyFill="1" applyBorder="1" applyAlignment="1" applyProtection="1">
      <alignment vertical="center" textRotation="90" wrapText="1"/>
    </xf>
    <xf numFmtId="0" fontId="31" fillId="6" borderId="13" xfId="0" applyFont="1" applyFill="1" applyBorder="1" applyAlignment="1" applyProtection="1">
      <alignment vertical="center" wrapText="1"/>
    </xf>
    <xf numFmtId="0" fontId="31" fillId="6" borderId="13" xfId="0" applyFont="1" applyFill="1" applyBorder="1" applyAlignment="1" applyProtection="1">
      <alignment horizontal="center" vertical="center" wrapText="1"/>
    </xf>
    <xf numFmtId="0" fontId="31" fillId="6" borderId="10" xfId="0" applyFont="1" applyFill="1" applyBorder="1" applyAlignment="1" applyProtection="1">
      <alignment vertical="center" wrapText="1"/>
    </xf>
    <xf numFmtId="0" fontId="34" fillId="6" borderId="6" xfId="0" applyFont="1" applyFill="1" applyBorder="1" applyAlignment="1" applyProtection="1">
      <alignment horizontal="center" vertical="center" wrapText="1"/>
    </xf>
    <xf numFmtId="0" fontId="21" fillId="6" borderId="4" xfId="0" applyFont="1" applyFill="1" applyBorder="1" applyAlignment="1" applyProtection="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pplyProtection="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pplyProtection="1">
      <alignment vertical="center" wrapText="1"/>
    </xf>
    <xf numFmtId="0" fontId="21" fillId="6" borderId="10" xfId="0" applyFont="1" applyFill="1" applyBorder="1" applyAlignment="1" applyProtection="1">
      <alignment vertical="center"/>
    </xf>
    <xf numFmtId="0" fontId="21" fillId="6" borderId="13" xfId="0" applyFont="1" applyFill="1" applyBorder="1" applyAlignment="1" applyProtection="1">
      <alignment vertical="center"/>
    </xf>
    <xf numFmtId="0" fontId="35" fillId="6" borderId="6" xfId="0" applyFont="1" applyFill="1" applyBorder="1" applyAlignment="1" applyProtection="1">
      <alignment horizontal="center" vertical="center"/>
    </xf>
    <xf numFmtId="0" fontId="21" fillId="6" borderId="6" xfId="0" applyFont="1" applyFill="1" applyBorder="1" applyAlignment="1" applyProtection="1">
      <alignment horizontal="center" vertical="center"/>
    </xf>
    <xf numFmtId="0" fontId="34" fillId="6" borderId="6" xfId="0" applyFont="1" applyFill="1" applyBorder="1" applyAlignment="1" applyProtection="1">
      <alignment horizontal="center" vertical="center"/>
    </xf>
    <xf numFmtId="0" fontId="24" fillId="6" borderId="13" xfId="0" applyFont="1" applyFill="1" applyBorder="1" applyAlignment="1" applyProtection="1">
      <alignment vertical="center"/>
    </xf>
    <xf numFmtId="0" fontId="21" fillId="6" borderId="4" xfId="0" applyFont="1" applyFill="1" applyBorder="1" applyAlignment="1" applyProtection="1">
      <alignment horizontal="center" vertical="center"/>
    </xf>
    <xf numFmtId="0" fontId="21" fillId="6" borderId="8" xfId="0" applyFont="1" applyFill="1" applyBorder="1" applyAlignment="1" applyProtection="1">
      <alignment horizontal="center" vertical="center"/>
    </xf>
    <xf numFmtId="0" fontId="20" fillId="6" borderId="6" xfId="0" applyNumberFormat="1" applyFont="1" applyFill="1" applyBorder="1" applyAlignment="1" applyProtection="1">
      <alignment horizontal="left" vertical="top" wrapText="1"/>
    </xf>
    <xf numFmtId="0" fontId="36" fillId="6" borderId="6" xfId="0" applyNumberFormat="1" applyFont="1" applyFill="1" applyBorder="1" applyAlignment="1" applyProtection="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ont="1" applyFill="1" applyBorder="1" applyAlignment="1"/>
    <xf numFmtId="1" fontId="0" fillId="4" borderId="13" xfId="0" applyNumberFormat="1" applyFont="1" applyFill="1" applyBorder="1" applyAlignment="1"/>
    <xf numFmtId="0" fontId="0" fillId="4" borderId="6" xfId="0" applyFont="1" applyFill="1" applyBorder="1" applyAlignment="1"/>
    <xf numFmtId="1" fontId="0" fillId="4" borderId="6" xfId="0" applyNumberFormat="1" applyFont="1" applyFill="1" applyBorder="1" applyAlignment="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Border="1" applyAlignment="1" applyProtection="1">
      <alignment horizontal="left" vertical="top"/>
      <protection locked="0"/>
    </xf>
    <xf numFmtId="166"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6" fontId="21" fillId="3" borderId="0" xfId="0" applyNumberFormat="1" applyFont="1" applyFill="1" applyBorder="1" applyAlignment="1" applyProtection="1">
      <alignment horizontal="left" vertical="top"/>
      <protection locked="0"/>
    </xf>
    <xf numFmtId="3" fontId="30" fillId="17" borderId="1" xfId="1" applyNumberFormat="1" applyFont="1" applyFill="1" applyBorder="1" applyAlignment="1" applyProtection="1">
      <alignment horizontal="left" vertical="top" wrapText="1"/>
      <protection locked="0"/>
    </xf>
    <xf numFmtId="49" fontId="21" fillId="17" borderId="6" xfId="0" applyNumberFormat="1" applyFont="1" applyFill="1" applyBorder="1" applyAlignment="1" applyProtection="1">
      <alignment horizontal="left" vertical="top" wrapText="1"/>
      <protection locked="0"/>
    </xf>
    <xf numFmtId="166" fontId="21" fillId="17"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0" fontId="21" fillId="6" borderId="1" xfId="0" applyFont="1" applyFill="1" applyBorder="1" applyAlignment="1" applyProtection="1">
      <alignment horizontal="center" vertical="center" wrapText="1"/>
    </xf>
    <xf numFmtId="0" fontId="21" fillId="6" borderId="2" xfId="0" applyFont="1" applyFill="1" applyBorder="1" applyAlignment="1" applyProtection="1">
      <alignment horizontal="center" vertical="center" wrapText="1"/>
    </xf>
    <xf numFmtId="0" fontId="21" fillId="6" borderId="3" xfId="0" applyFont="1" applyFill="1" applyBorder="1" applyAlignment="1" applyProtection="1">
      <alignment horizontal="center" vertical="center" wrapText="1"/>
    </xf>
    <xf numFmtId="0" fontId="21" fillId="6" borderId="8" xfId="0" applyFont="1" applyFill="1" applyBorder="1" applyAlignment="1" applyProtection="1">
      <alignment horizontal="center" textRotation="90" wrapText="1"/>
    </xf>
    <xf numFmtId="0" fontId="21" fillId="6" borderId="13" xfId="0" applyFont="1" applyFill="1" applyBorder="1" applyAlignment="1" applyProtection="1">
      <alignment horizontal="center" textRotation="90"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pplyProtection="1">
      <alignment horizontal="center" vertical="center" wrapText="1"/>
    </xf>
    <xf numFmtId="0" fontId="20" fillId="6" borderId="2" xfId="0" applyFont="1" applyFill="1" applyBorder="1" applyAlignment="1" applyProtection="1">
      <alignment horizontal="center" vertical="center" wrapText="1"/>
    </xf>
    <xf numFmtId="0" fontId="20" fillId="6" borderId="3" xfId="0" applyFont="1" applyFill="1" applyBorder="1" applyAlignment="1" applyProtection="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pplyProtection="1">
      <alignment horizontal="center"/>
    </xf>
    <xf numFmtId="0" fontId="29" fillId="5" borderId="6" xfId="0" applyFont="1" applyFill="1" applyBorder="1" applyAlignment="1" applyProtection="1">
      <alignment horizontal="center"/>
    </xf>
    <xf numFmtId="0" fontId="29" fillId="7" borderId="6" xfId="0" applyFont="1" applyFill="1" applyBorder="1" applyAlignment="1" applyProtection="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Font="1" applyBorder="1" applyAlignment="1">
      <alignment horizontal="lef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cellXfs>
  <cellStyles count="7">
    <cellStyle name="Accent3" xfId="6" builtinId="37"/>
    <cellStyle name="Comma 2" xfId="3"/>
    <cellStyle name="Lien hypertexte" xfId="2" builtinId="8"/>
    <cellStyle name="Milliers" xfId="1" builtinId="3"/>
    <cellStyle name="Normal" xfId="0" builtinId="0"/>
    <cellStyle name="Pourcentage" xfId="4" builtinId="5"/>
    <cellStyle name="Satisfaisant" xfId="5" builtinId="26"/>
  </cellStyles>
  <dxfs count="128">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210675"/>
          <a:ext cx="10477500" cy="723900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C68"/>
  <sheetViews>
    <sheetView topLeftCell="A20" zoomScaleNormal="100" workbookViewId="0">
      <selection activeCell="B60" sqref="B60"/>
    </sheetView>
  </sheetViews>
  <sheetFormatPr baseColWidth="10" defaultColWidth="0" defaultRowHeight="15" customHeight="1" zeroHeight="1" x14ac:dyDescent="0.25"/>
  <cols>
    <col min="1" max="1" width="2.5703125" style="63" customWidth="1"/>
    <col min="2" max="2" width="155.140625" style="63" customWidth="1"/>
    <col min="3" max="3" width="2" style="63" customWidth="1"/>
    <col min="4" max="16384" width="9.140625" style="63" hidden="1"/>
  </cols>
  <sheetData>
    <row r="1" spans="1:3" x14ac:dyDescent="0.25">
      <c r="A1" s="64"/>
      <c r="B1" s="64"/>
      <c r="C1" s="64"/>
    </row>
    <row r="2" spans="1:3" x14ac:dyDescent="0.25">
      <c r="A2" s="64"/>
      <c r="B2" s="64"/>
      <c r="C2" s="64"/>
    </row>
    <row r="3" spans="1:3" x14ac:dyDescent="0.25">
      <c r="A3" s="64"/>
      <c r="B3" s="64"/>
      <c r="C3" s="64"/>
    </row>
    <row r="4" spans="1:3" x14ac:dyDescent="0.25">
      <c r="A4" s="64"/>
      <c r="B4" s="64"/>
      <c r="C4" s="64"/>
    </row>
    <row r="5" spans="1:3" x14ac:dyDescent="0.25">
      <c r="A5" s="64"/>
      <c r="B5" s="64"/>
      <c r="C5" s="64"/>
    </row>
    <row r="6" spans="1:3" x14ac:dyDescent="0.25">
      <c r="A6" s="64"/>
      <c r="B6" s="64"/>
      <c r="C6" s="64"/>
    </row>
    <row r="7" spans="1:3" x14ac:dyDescent="0.25">
      <c r="A7" s="64"/>
      <c r="B7" s="64"/>
      <c r="C7" s="64"/>
    </row>
    <row r="8" spans="1:3" s="67" customFormat="1" ht="20.25" x14ac:dyDescent="0.25">
      <c r="A8" s="66"/>
      <c r="B8" s="69" t="s">
        <v>11</v>
      </c>
      <c r="C8" s="66"/>
    </row>
    <row r="9" spans="1:3" s="67" customFormat="1" x14ac:dyDescent="0.25">
      <c r="A9" s="66"/>
      <c r="B9" s="68"/>
      <c r="C9" s="66"/>
    </row>
    <row r="10" spans="1:3" s="67" customFormat="1" x14ac:dyDescent="0.25">
      <c r="A10" s="66"/>
      <c r="B10" s="125" t="s">
        <v>177</v>
      </c>
      <c r="C10" s="66"/>
    </row>
    <row r="11" spans="1:3" s="67" customFormat="1" x14ac:dyDescent="0.25">
      <c r="A11" s="66"/>
      <c r="B11" s="126"/>
      <c r="C11" s="66"/>
    </row>
    <row r="12" spans="1:3" s="67" customFormat="1" ht="33.75" x14ac:dyDescent="0.25">
      <c r="A12" s="66"/>
      <c r="B12" s="126" t="s">
        <v>178</v>
      </c>
      <c r="C12" s="66"/>
    </row>
    <row r="13" spans="1:3" s="67" customFormat="1" x14ac:dyDescent="0.25">
      <c r="A13" s="66"/>
      <c r="B13" s="126"/>
      <c r="C13" s="66"/>
    </row>
    <row r="14" spans="1:3" s="67" customFormat="1" ht="45" x14ac:dyDescent="0.25">
      <c r="A14" s="66"/>
      <c r="B14" s="126" t="s">
        <v>179</v>
      </c>
      <c r="C14" s="66"/>
    </row>
    <row r="15" spans="1:3" s="67" customFormat="1" x14ac:dyDescent="0.25">
      <c r="A15" s="66"/>
      <c r="B15" s="126"/>
      <c r="C15" s="66"/>
    </row>
    <row r="16" spans="1:3" s="67" customFormat="1" x14ac:dyDescent="0.25">
      <c r="A16" s="66"/>
      <c r="B16" s="126" t="s">
        <v>188</v>
      </c>
      <c r="C16" s="66"/>
    </row>
    <row r="17" spans="1:3" s="67" customFormat="1" x14ac:dyDescent="0.25">
      <c r="A17" s="66"/>
      <c r="B17" s="66"/>
      <c r="C17" s="66"/>
    </row>
    <row r="18" spans="1:3" s="67" customFormat="1" ht="20.25" x14ac:dyDescent="0.25">
      <c r="A18" s="66"/>
      <c r="B18" s="127" t="s">
        <v>180</v>
      </c>
      <c r="C18" s="66"/>
    </row>
    <row r="19" spans="1:3" s="67" customFormat="1" x14ac:dyDescent="0.25">
      <c r="A19" s="66"/>
      <c r="B19" s="66"/>
      <c r="C19" s="66"/>
    </row>
    <row r="20" spans="1:3" s="67" customFormat="1" ht="98.25" customHeight="1" x14ac:dyDescent="0.25">
      <c r="A20" s="66"/>
      <c r="B20" s="128">
        <v>0</v>
      </c>
      <c r="C20" s="66"/>
    </row>
    <row r="21" spans="1:3" s="67" customFormat="1" ht="25.5" x14ac:dyDescent="0.25">
      <c r="A21" s="66"/>
      <c r="B21" s="129" t="s">
        <v>181</v>
      </c>
      <c r="C21" s="66"/>
    </row>
    <row r="22" spans="1:3" s="67" customFormat="1" ht="47.25" customHeight="1" x14ac:dyDescent="0.25">
      <c r="A22" s="66"/>
      <c r="B22" s="128" t="s">
        <v>182</v>
      </c>
      <c r="C22" s="66"/>
    </row>
    <row r="23" spans="1:3" s="67" customFormat="1" ht="63.75" x14ac:dyDescent="0.25">
      <c r="A23" s="66"/>
      <c r="B23" s="129" t="s">
        <v>183</v>
      </c>
      <c r="C23" s="66"/>
    </row>
    <row r="24" spans="1:3" s="67" customFormat="1" ht="63" customHeight="1" x14ac:dyDescent="0.25">
      <c r="A24" s="66"/>
      <c r="B24" s="128" t="s">
        <v>184</v>
      </c>
      <c r="C24" s="66"/>
    </row>
    <row r="25" spans="1:3" s="67" customFormat="1" ht="38.25" x14ac:dyDescent="0.25">
      <c r="A25" s="66"/>
      <c r="B25" s="129" t="s">
        <v>185</v>
      </c>
      <c r="C25" s="66"/>
    </row>
    <row r="26" spans="1:3" x14ac:dyDescent="0.25">
      <c r="A26" s="64"/>
      <c r="B26" s="64"/>
      <c r="C26" s="64"/>
    </row>
    <row r="27" spans="1:3" x14ac:dyDescent="0.25">
      <c r="A27" s="64"/>
      <c r="B27" s="64"/>
      <c r="C27" s="64"/>
    </row>
    <row r="28" spans="1:3" x14ac:dyDescent="0.25">
      <c r="A28" s="64"/>
      <c r="B28" s="64"/>
      <c r="C28" s="64"/>
    </row>
    <row r="29" spans="1:3" x14ac:dyDescent="0.25">
      <c r="A29" s="64"/>
      <c r="B29" s="64"/>
      <c r="C29" s="64"/>
    </row>
    <row r="30" spans="1:3" x14ac:dyDescent="0.25">
      <c r="A30" s="64"/>
      <c r="B30" s="64"/>
      <c r="C30" s="64"/>
    </row>
    <row r="31" spans="1:3" x14ac:dyDescent="0.25">
      <c r="A31" s="64"/>
      <c r="B31" s="64"/>
      <c r="C31" s="64"/>
    </row>
    <row r="32" spans="1:3" x14ac:dyDescent="0.25">
      <c r="A32" s="64"/>
      <c r="B32" s="64"/>
      <c r="C32" s="64"/>
    </row>
    <row r="33" spans="1:3" x14ac:dyDescent="0.25">
      <c r="A33" s="64"/>
      <c r="B33" s="64"/>
      <c r="C33" s="64"/>
    </row>
    <row r="34" spans="1:3" x14ac:dyDescent="0.25">
      <c r="A34" s="64"/>
      <c r="B34" s="64"/>
      <c r="C34" s="64"/>
    </row>
    <row r="35" spans="1:3" x14ac:dyDescent="0.25">
      <c r="A35" s="64"/>
      <c r="B35" s="64"/>
      <c r="C35" s="64"/>
    </row>
    <row r="36" spans="1:3" x14ac:dyDescent="0.25">
      <c r="A36" s="64"/>
      <c r="B36" s="64"/>
      <c r="C36" s="64"/>
    </row>
    <row r="37" spans="1:3" x14ac:dyDescent="0.25">
      <c r="A37" s="64"/>
      <c r="B37" s="64"/>
      <c r="C37" s="64"/>
    </row>
    <row r="38" spans="1:3" x14ac:dyDescent="0.25">
      <c r="A38" s="64"/>
      <c r="B38" s="64"/>
      <c r="C38" s="64"/>
    </row>
    <row r="39" spans="1:3" x14ac:dyDescent="0.25">
      <c r="A39" s="64"/>
      <c r="B39" s="64"/>
      <c r="C39" s="64"/>
    </row>
    <row r="40" spans="1:3" x14ac:dyDescent="0.25">
      <c r="A40" s="64"/>
      <c r="B40" s="64"/>
      <c r="C40" s="64"/>
    </row>
    <row r="41" spans="1:3" x14ac:dyDescent="0.25">
      <c r="A41" s="64"/>
      <c r="B41" s="64"/>
      <c r="C41" s="64"/>
    </row>
    <row r="42" spans="1:3" x14ac:dyDescent="0.25">
      <c r="A42" s="64"/>
      <c r="B42" s="64"/>
      <c r="C42" s="64"/>
    </row>
    <row r="43" spans="1:3" x14ac:dyDescent="0.25">
      <c r="A43" s="64"/>
      <c r="B43" s="64"/>
      <c r="C43" s="64"/>
    </row>
    <row r="44" spans="1:3" x14ac:dyDescent="0.25">
      <c r="A44" s="64"/>
      <c r="B44" s="64"/>
      <c r="C44" s="64"/>
    </row>
    <row r="45" spans="1:3" x14ac:dyDescent="0.25">
      <c r="A45" s="64"/>
      <c r="B45" s="64"/>
      <c r="C45" s="64"/>
    </row>
    <row r="46" spans="1:3" x14ac:dyDescent="0.25">
      <c r="A46" s="64"/>
      <c r="B46" s="64"/>
      <c r="C46" s="64"/>
    </row>
    <row r="47" spans="1:3" x14ac:dyDescent="0.25">
      <c r="A47" s="64"/>
      <c r="B47" s="64"/>
      <c r="C47" s="64"/>
    </row>
    <row r="48" spans="1:3" x14ac:dyDescent="0.25">
      <c r="A48" s="64"/>
      <c r="B48" s="64"/>
      <c r="C48" s="64"/>
    </row>
    <row r="49" spans="1:3" x14ac:dyDescent="0.25">
      <c r="A49" s="64"/>
      <c r="B49" s="64"/>
      <c r="C49" s="64"/>
    </row>
    <row r="50" spans="1:3" x14ac:dyDescent="0.25">
      <c r="A50" s="64"/>
      <c r="B50" s="64"/>
      <c r="C50" s="64"/>
    </row>
    <row r="51" spans="1:3" x14ac:dyDescent="0.25">
      <c r="A51" s="64"/>
      <c r="B51" s="64"/>
      <c r="C51" s="64"/>
    </row>
    <row r="52" spans="1:3" x14ac:dyDescent="0.25">
      <c r="A52" s="64"/>
      <c r="B52" s="64"/>
      <c r="C52" s="64"/>
    </row>
    <row r="53" spans="1:3" x14ac:dyDescent="0.25">
      <c r="A53" s="64"/>
      <c r="B53" s="64"/>
      <c r="C53" s="64"/>
    </row>
    <row r="54" spans="1:3" x14ac:dyDescent="0.25">
      <c r="A54" s="64"/>
      <c r="B54" s="64"/>
      <c r="C54" s="64"/>
    </row>
    <row r="55" spans="1:3" x14ac:dyDescent="0.25">
      <c r="A55" s="64"/>
      <c r="B55" s="64"/>
      <c r="C55" s="64"/>
    </row>
    <row r="56" spans="1:3" x14ac:dyDescent="0.25">
      <c r="A56" s="64"/>
      <c r="B56" s="64"/>
      <c r="C56" s="64"/>
    </row>
    <row r="57" spans="1:3" x14ac:dyDescent="0.25">
      <c r="A57" s="64"/>
      <c r="B57" s="64"/>
      <c r="C57" s="64"/>
    </row>
    <row r="58" spans="1:3" x14ac:dyDescent="0.25">
      <c r="A58" s="64"/>
      <c r="B58" s="65"/>
      <c r="C58" s="64"/>
    </row>
    <row r="59" spans="1:3" x14ac:dyDescent="0.25">
      <c r="A59" s="64"/>
      <c r="B59" s="65"/>
      <c r="C59" s="64"/>
    </row>
    <row r="60" spans="1:3" x14ac:dyDescent="0.25">
      <c r="A60" s="64"/>
      <c r="B60" s="64"/>
      <c r="C60" s="64"/>
    </row>
    <row r="61" spans="1:3" x14ac:dyDescent="0.25">
      <c r="B61" s="64"/>
    </row>
    <row r="62" spans="1:3" hidden="1" x14ac:dyDescent="0.25">
      <c r="B62" s="65" t="s">
        <v>186</v>
      </c>
    </row>
    <row r="63" spans="1:3" hidden="1" x14ac:dyDescent="0.25">
      <c r="B63" s="65" t="s">
        <v>187</v>
      </c>
    </row>
    <row r="64" spans="1:3" x14ac:dyDescent="0.25"/>
    <row r="65" x14ac:dyDescent="0.25"/>
    <row r="66" x14ac:dyDescent="0.25"/>
    <row r="67" x14ac:dyDescent="0.25"/>
    <row r="68" x14ac:dyDescent="0.25"/>
  </sheetData>
  <hyperlinks>
    <hyperlink ref="B10" r:id="rId1" display="(1) Veuillez suivre les instructions figurant dans le le Guide technique http://www.social-protection.org/gimi/ShowTheme.action?id=10"/>
    <hyperlink ref="B16" r:id="rId2" display="(4) Send the completed questionnaire to socprodata@ilo.org by June 30, 2018."/>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AG6" sqref="AG6"/>
    </sheetView>
  </sheetViews>
  <sheetFormatPr baseColWidth="10" defaultColWidth="0" defaultRowHeight="12.75" zeroHeight="1" x14ac:dyDescent="0.25"/>
  <cols>
    <col min="1" max="1" width="9.28515625" style="109" customWidth="1"/>
    <col min="2" max="4" width="25.7109375" style="70" customWidth="1"/>
    <col min="5" max="19" width="3" style="73" customWidth="1"/>
    <col min="20" max="20" width="4.5703125" style="73" customWidth="1"/>
    <col min="21" max="21" width="5.140625" style="73" customWidth="1"/>
    <col min="22" max="23" width="16.7109375" style="73" bestFit="1" customWidth="1"/>
    <col min="24" max="28" width="11.7109375" style="73" customWidth="1"/>
    <col min="29" max="29" width="11.7109375" style="70" customWidth="1"/>
    <col min="30" max="30" width="16.7109375" style="70" bestFit="1" customWidth="1"/>
    <col min="31" max="31" width="20.7109375" style="70" customWidth="1"/>
    <col min="32" max="32" width="20.7109375" style="105" customWidth="1"/>
    <col min="33" max="35" width="21.7109375" style="70" customWidth="1"/>
    <col min="36" max="36" width="12.28515625" style="70" customWidth="1"/>
    <col min="37" max="37" width="3.5703125" style="78" customWidth="1"/>
    <col min="38" max="39" width="11.42578125" style="71" hidden="1"/>
    <col min="40" max="40" width="30.7109375" style="71" hidden="1"/>
    <col min="41" max="41" width="5.85546875" style="71" hidden="1"/>
    <col min="42" max="248" width="11.42578125" style="71" hidden="1"/>
    <col min="249" max="249" width="12.5703125" style="71" hidden="1"/>
    <col min="250" max="257" width="5.28515625" style="71" hidden="1"/>
    <col min="258" max="258" width="8" style="71" hidden="1"/>
    <col min="259" max="259" width="4" style="71" hidden="1"/>
    <col min="260" max="260" width="39.42578125" style="71" hidden="1"/>
    <col min="261" max="274" width="5.28515625" style="71" hidden="1"/>
    <col min="275" max="275" width="10.85546875" style="71" hidden="1"/>
    <col min="276" max="276" width="10.140625" style="71" hidden="1"/>
    <col min="277" max="277" width="10.5703125" style="71" hidden="1"/>
    <col min="278" max="278" width="9.5703125" style="71" hidden="1"/>
    <col min="279" max="279" width="5.42578125" style="71" hidden="1"/>
    <col min="280" max="280" width="9.28515625" style="71" hidden="1"/>
    <col min="281" max="281" width="8.28515625" style="71" hidden="1"/>
    <col min="282" max="282" width="9.140625" style="71" hidden="1"/>
    <col min="283" max="283" width="11.42578125" style="71" hidden="1"/>
    <col min="284" max="287" width="9.28515625" style="71" hidden="1"/>
    <col min="288" max="290" width="11.42578125" style="71" hidden="1"/>
    <col min="291" max="291" width="18.7109375" style="71" hidden="1"/>
    <col min="292" max="292" width="18.85546875" style="71" hidden="1"/>
    <col min="293" max="295" width="11.42578125" style="71" hidden="1"/>
    <col min="296" max="296" width="30.7109375" style="71" hidden="1"/>
    <col min="297" max="504" width="11.42578125" style="71" hidden="1"/>
    <col min="505" max="505" width="12.5703125" style="71" hidden="1"/>
    <col min="506" max="513" width="5.28515625" style="71" hidden="1"/>
    <col min="514" max="514" width="8" style="71" hidden="1"/>
    <col min="515" max="515" width="4" style="71" hidden="1"/>
    <col min="516" max="516" width="39.42578125" style="71" hidden="1"/>
    <col min="517" max="530" width="5.28515625" style="71" hidden="1"/>
    <col min="531" max="531" width="10.85546875" style="71" hidden="1"/>
    <col min="532" max="532" width="10.140625" style="71" hidden="1"/>
    <col min="533" max="533" width="10.5703125" style="71" hidden="1"/>
    <col min="534" max="534" width="9.5703125" style="71" hidden="1"/>
    <col min="535" max="535" width="5.42578125" style="71" hidden="1"/>
    <col min="536" max="536" width="9.28515625" style="71" hidden="1"/>
    <col min="537" max="537" width="8.28515625" style="71" hidden="1"/>
    <col min="538" max="538" width="9.140625" style="71" hidden="1"/>
    <col min="539" max="539" width="11.42578125" style="71" hidden="1"/>
    <col min="540" max="543" width="9.28515625" style="71" hidden="1"/>
    <col min="544" max="546" width="11.42578125" style="71" hidden="1"/>
    <col min="547" max="547" width="18.7109375" style="71" hidden="1"/>
    <col min="548" max="548" width="18.85546875" style="71" hidden="1"/>
    <col min="549" max="551" width="11.42578125" style="71" hidden="1"/>
    <col min="552" max="552" width="30.7109375" style="71" hidden="1"/>
    <col min="553" max="760" width="11.42578125" style="71" hidden="1"/>
    <col min="761" max="761" width="12.5703125" style="71" hidden="1"/>
    <col min="762" max="769" width="5.28515625" style="71" hidden="1"/>
    <col min="770" max="770" width="8" style="71" hidden="1"/>
    <col min="771" max="771" width="4" style="71" hidden="1"/>
    <col min="772" max="772" width="39.42578125" style="71" hidden="1"/>
    <col min="773" max="786" width="5.28515625" style="71" hidden="1"/>
    <col min="787" max="787" width="10.85546875" style="71" hidden="1"/>
    <col min="788" max="788" width="10.140625" style="71" hidden="1"/>
    <col min="789" max="789" width="10.5703125" style="71" hidden="1"/>
    <col min="790" max="790" width="9.5703125" style="71" hidden="1"/>
    <col min="791" max="791" width="5.42578125" style="71" hidden="1"/>
    <col min="792" max="792" width="9.28515625" style="71" hidden="1"/>
    <col min="793" max="793" width="8.28515625" style="71" hidden="1"/>
    <col min="794" max="794" width="9.140625" style="71" hidden="1"/>
    <col min="795" max="795" width="11.42578125" style="71" hidden="1"/>
    <col min="796" max="799" width="9.28515625" style="71" hidden="1"/>
    <col min="800" max="802" width="11.42578125" style="71" hidden="1"/>
    <col min="803" max="803" width="18.7109375" style="71" hidden="1"/>
    <col min="804" max="804" width="18.85546875" style="71" hidden="1"/>
    <col min="805" max="807" width="11.42578125" style="71" hidden="1"/>
    <col min="808" max="808" width="30.7109375" style="71" hidden="1"/>
    <col min="809" max="1016" width="11.42578125" style="71" hidden="1"/>
    <col min="1017" max="1017" width="12.5703125" style="71" hidden="1"/>
    <col min="1018" max="1025" width="5.28515625" style="71" hidden="1"/>
    <col min="1026" max="1026" width="8" style="71" hidden="1"/>
    <col min="1027" max="1027" width="4" style="71" hidden="1"/>
    <col min="1028" max="1028" width="39.42578125" style="71" hidden="1"/>
    <col min="1029" max="1042" width="5.28515625" style="71" hidden="1"/>
    <col min="1043" max="1043" width="10.85546875" style="71" hidden="1"/>
    <col min="1044" max="1044" width="10.140625" style="71" hidden="1"/>
    <col min="1045" max="1045" width="10.5703125" style="71" hidden="1"/>
    <col min="1046" max="1046" width="9.5703125" style="71" hidden="1"/>
    <col min="1047" max="1047" width="5.42578125" style="71" hidden="1"/>
    <col min="1048" max="1048" width="9.28515625" style="71" hidden="1"/>
    <col min="1049" max="1049" width="8.28515625" style="71" hidden="1"/>
    <col min="1050" max="1050" width="9.140625" style="71" hidden="1"/>
    <col min="1051" max="1051" width="11.42578125" style="71" hidden="1"/>
    <col min="1052" max="1055" width="9.28515625" style="71" hidden="1"/>
    <col min="1056" max="1058" width="11.42578125" style="71" hidden="1"/>
    <col min="1059" max="1059" width="18.7109375" style="71" hidden="1"/>
    <col min="1060" max="1060" width="18.85546875" style="71" hidden="1"/>
    <col min="1061" max="1063" width="11.42578125" style="71" hidden="1"/>
    <col min="1064" max="1064" width="30.7109375" style="71" hidden="1"/>
    <col min="1065" max="1272" width="11.42578125" style="71" hidden="1"/>
    <col min="1273" max="1273" width="12.5703125" style="71" hidden="1"/>
    <col min="1274" max="1281" width="5.28515625" style="71" hidden="1"/>
    <col min="1282" max="1282" width="8" style="71" hidden="1"/>
    <col min="1283" max="1283" width="4" style="71" hidden="1"/>
    <col min="1284" max="1284" width="39.42578125" style="71" hidden="1"/>
    <col min="1285" max="1298" width="5.28515625" style="71" hidden="1"/>
    <col min="1299" max="1299" width="10.85546875" style="71" hidden="1"/>
    <col min="1300" max="1300" width="10.140625" style="71" hidden="1"/>
    <col min="1301" max="1301" width="10.5703125" style="71" hidden="1"/>
    <col min="1302" max="1302" width="9.5703125" style="71" hidden="1"/>
    <col min="1303" max="1303" width="5.42578125" style="71" hidden="1"/>
    <col min="1304" max="1304" width="9.28515625" style="71" hidden="1"/>
    <col min="1305" max="1305" width="8.28515625" style="71" hidden="1"/>
    <col min="1306" max="1306" width="9.140625" style="71" hidden="1"/>
    <col min="1307" max="1307" width="11.42578125" style="71" hidden="1"/>
    <col min="1308" max="1311" width="9.28515625" style="71" hidden="1"/>
    <col min="1312" max="1314" width="11.42578125" style="71" hidden="1"/>
    <col min="1315" max="1315" width="18.7109375" style="71" hidden="1"/>
    <col min="1316" max="1316" width="18.85546875" style="71" hidden="1"/>
    <col min="1317" max="1319" width="11.42578125" style="71" hidden="1"/>
    <col min="1320" max="1320" width="30.7109375" style="71" hidden="1"/>
    <col min="1321" max="1528" width="11.42578125" style="71" hidden="1"/>
    <col min="1529" max="1529" width="12.5703125" style="71" hidden="1"/>
    <col min="1530" max="1537" width="5.28515625" style="71" hidden="1"/>
    <col min="1538" max="1538" width="8" style="71" hidden="1"/>
    <col min="1539" max="1539" width="4" style="71" hidden="1"/>
    <col min="1540" max="1540" width="39.42578125" style="71" hidden="1"/>
    <col min="1541" max="1554" width="5.28515625" style="71" hidden="1"/>
    <col min="1555" max="1555" width="10.85546875" style="71" hidden="1"/>
    <col min="1556" max="1556" width="10.140625" style="71" hidden="1"/>
    <col min="1557" max="1557" width="10.5703125" style="71" hidden="1"/>
    <col min="1558" max="1558" width="9.5703125" style="71" hidden="1"/>
    <col min="1559" max="1559" width="5.42578125" style="71" hidden="1"/>
    <col min="1560" max="1560" width="9.28515625" style="71" hidden="1"/>
    <col min="1561" max="1561" width="8.28515625" style="71" hidden="1"/>
    <col min="1562" max="1562" width="9.140625" style="71" hidden="1"/>
    <col min="1563" max="1563" width="11.42578125" style="71" hidden="1"/>
    <col min="1564" max="1567" width="9.28515625" style="71" hidden="1"/>
    <col min="1568" max="1570" width="11.42578125" style="71" hidden="1"/>
    <col min="1571" max="1571" width="18.7109375" style="71" hidden="1"/>
    <col min="1572" max="1572" width="18.85546875" style="71" hidden="1"/>
    <col min="1573" max="1575" width="11.42578125" style="71" hidden="1"/>
    <col min="1576" max="1576" width="30.7109375" style="71" hidden="1"/>
    <col min="1577" max="1784" width="11.42578125" style="71" hidden="1"/>
    <col min="1785" max="1785" width="12.5703125" style="71" hidden="1"/>
    <col min="1786" max="1793" width="5.28515625" style="71" hidden="1"/>
    <col min="1794" max="1794" width="8" style="71" hidden="1"/>
    <col min="1795" max="1795" width="4" style="71" hidden="1"/>
    <col min="1796" max="1796" width="39.42578125" style="71" hidden="1"/>
    <col min="1797" max="1810" width="5.28515625" style="71" hidden="1"/>
    <col min="1811" max="1811" width="10.85546875" style="71" hidden="1"/>
    <col min="1812" max="1812" width="10.140625" style="71" hidden="1"/>
    <col min="1813" max="1813" width="10.5703125" style="71" hidden="1"/>
    <col min="1814" max="1814" width="9.5703125" style="71" hidden="1"/>
    <col min="1815" max="1815" width="5.42578125" style="71" hidden="1"/>
    <col min="1816" max="1816" width="9.28515625" style="71" hidden="1"/>
    <col min="1817" max="1817" width="8.28515625" style="71" hidden="1"/>
    <col min="1818" max="1818" width="9.140625" style="71" hidden="1"/>
    <col min="1819" max="1819" width="11.42578125" style="71" hidden="1"/>
    <col min="1820" max="1823" width="9.28515625" style="71" hidden="1"/>
    <col min="1824" max="1826" width="11.42578125" style="71" hidden="1"/>
    <col min="1827" max="1827" width="18.7109375" style="71" hidden="1"/>
    <col min="1828" max="1828" width="18.85546875" style="71" hidden="1"/>
    <col min="1829" max="1831" width="11.42578125" style="71" hidden="1"/>
    <col min="1832" max="1832" width="30.7109375" style="71" hidden="1"/>
    <col min="1833" max="2040" width="11.42578125" style="71" hidden="1"/>
    <col min="2041" max="2041" width="12.5703125" style="71" hidden="1"/>
    <col min="2042" max="2049" width="5.28515625" style="71" hidden="1"/>
    <col min="2050" max="2050" width="8" style="71" hidden="1"/>
    <col min="2051" max="2051" width="4" style="71" hidden="1"/>
    <col min="2052" max="2052" width="39.42578125" style="71" hidden="1"/>
    <col min="2053" max="2066" width="5.28515625" style="71" hidden="1"/>
    <col min="2067" max="2067" width="10.85546875" style="71" hidden="1"/>
    <col min="2068" max="2068" width="10.140625" style="71" hidden="1"/>
    <col min="2069" max="2069" width="10.5703125" style="71" hidden="1"/>
    <col min="2070" max="2070" width="9.5703125" style="71" hidden="1"/>
    <col min="2071" max="2071" width="5.42578125" style="71" hidden="1"/>
    <col min="2072" max="2072" width="9.28515625" style="71" hidden="1"/>
    <col min="2073" max="2073" width="8.28515625" style="71" hidden="1"/>
    <col min="2074" max="2074" width="9.140625" style="71" hidden="1"/>
    <col min="2075" max="2075" width="11.42578125" style="71" hidden="1"/>
    <col min="2076" max="2079" width="9.28515625" style="71" hidden="1"/>
    <col min="2080" max="2082" width="11.42578125" style="71" hidden="1"/>
    <col min="2083" max="2083" width="18.7109375" style="71" hidden="1"/>
    <col min="2084" max="2084" width="18.85546875" style="71" hidden="1"/>
    <col min="2085" max="2087" width="11.42578125" style="71" hidden="1"/>
    <col min="2088" max="2088" width="30.7109375" style="71" hidden="1"/>
    <col min="2089" max="2296" width="11.42578125" style="71" hidden="1"/>
    <col min="2297" max="2297" width="12.5703125" style="71" hidden="1"/>
    <col min="2298" max="2305" width="5.28515625" style="71" hidden="1"/>
    <col min="2306" max="2306" width="8" style="71" hidden="1"/>
    <col min="2307" max="2307" width="4" style="71" hidden="1"/>
    <col min="2308" max="2308" width="39.42578125" style="71" hidden="1"/>
    <col min="2309" max="2322" width="5.28515625" style="71" hidden="1"/>
    <col min="2323" max="2323" width="10.85546875" style="71" hidden="1"/>
    <col min="2324" max="2324" width="10.140625" style="71" hidden="1"/>
    <col min="2325" max="2325" width="10.5703125" style="71" hidden="1"/>
    <col min="2326" max="2326" width="9.5703125" style="71" hidden="1"/>
    <col min="2327" max="2327" width="5.42578125" style="71" hidden="1"/>
    <col min="2328" max="2328" width="9.28515625" style="71" hidden="1"/>
    <col min="2329" max="2329" width="8.28515625" style="71" hidden="1"/>
    <col min="2330" max="2330" width="9.140625" style="71" hidden="1"/>
    <col min="2331" max="2331" width="11.42578125" style="71" hidden="1"/>
    <col min="2332" max="2335" width="9.28515625" style="71" hidden="1"/>
    <col min="2336" max="2338" width="11.42578125" style="71" hidden="1"/>
    <col min="2339" max="2339" width="18.7109375" style="71" hidden="1"/>
    <col min="2340" max="2340" width="18.85546875" style="71" hidden="1"/>
    <col min="2341" max="2343" width="11.42578125" style="71" hidden="1"/>
    <col min="2344" max="2344" width="30.7109375" style="71" hidden="1"/>
    <col min="2345" max="2552" width="11.42578125" style="71" hidden="1"/>
    <col min="2553" max="2553" width="12.5703125" style="71" hidden="1"/>
    <col min="2554" max="2561" width="5.28515625" style="71" hidden="1"/>
    <col min="2562" max="2562" width="8" style="71" hidden="1"/>
    <col min="2563" max="2563" width="4" style="71" hidden="1"/>
    <col min="2564" max="2564" width="39.42578125" style="71" hidden="1"/>
    <col min="2565" max="2578" width="5.28515625" style="71" hidden="1"/>
    <col min="2579" max="2579" width="10.85546875" style="71" hidden="1"/>
    <col min="2580" max="2580" width="10.140625" style="71" hidden="1"/>
    <col min="2581" max="2581" width="10.5703125" style="71" hidden="1"/>
    <col min="2582" max="2582" width="9.5703125" style="71" hidden="1"/>
    <col min="2583" max="2583" width="5.42578125" style="71" hidden="1"/>
    <col min="2584" max="2584" width="9.28515625" style="71" hidden="1"/>
    <col min="2585" max="2585" width="8.28515625" style="71" hidden="1"/>
    <col min="2586" max="2586" width="9.140625" style="71" hidden="1"/>
    <col min="2587" max="2587" width="11.42578125" style="71" hidden="1"/>
    <col min="2588" max="2591" width="9.28515625" style="71" hidden="1"/>
    <col min="2592" max="2594" width="11.42578125" style="71" hidden="1"/>
    <col min="2595" max="2595" width="18.7109375" style="71" hidden="1"/>
    <col min="2596" max="2596" width="18.85546875" style="71" hidden="1"/>
    <col min="2597" max="2599" width="11.42578125" style="71" hidden="1"/>
    <col min="2600" max="2600" width="30.7109375" style="71" hidden="1"/>
    <col min="2601" max="2808" width="11.42578125" style="71" hidden="1"/>
    <col min="2809" max="2809" width="12.5703125" style="71" hidden="1"/>
    <col min="2810" max="2817" width="5.28515625" style="71" hidden="1"/>
    <col min="2818" max="2818" width="8" style="71" hidden="1"/>
    <col min="2819" max="2819" width="4" style="71" hidden="1"/>
    <col min="2820" max="2820" width="39.42578125" style="71" hidden="1"/>
    <col min="2821" max="2834" width="5.28515625" style="71" hidden="1"/>
    <col min="2835" max="2835" width="10.85546875" style="71" hidden="1"/>
    <col min="2836" max="2836" width="10.140625" style="71" hidden="1"/>
    <col min="2837" max="2837" width="10.5703125" style="71" hidden="1"/>
    <col min="2838" max="2838" width="9.5703125" style="71" hidden="1"/>
    <col min="2839" max="2839" width="5.42578125" style="71" hidden="1"/>
    <col min="2840" max="2840" width="9.28515625" style="71" hidden="1"/>
    <col min="2841" max="2841" width="8.28515625" style="71" hidden="1"/>
    <col min="2842" max="2842" width="9.140625" style="71" hidden="1"/>
    <col min="2843" max="2843" width="11.42578125" style="71" hidden="1"/>
    <col min="2844" max="2847" width="9.28515625" style="71" hidden="1"/>
    <col min="2848" max="2850" width="11.42578125" style="71" hidden="1"/>
    <col min="2851" max="2851" width="18.7109375" style="71" hidden="1"/>
    <col min="2852" max="2852" width="18.85546875" style="71" hidden="1"/>
    <col min="2853" max="2855" width="11.42578125" style="71" hidden="1"/>
    <col min="2856" max="2856" width="30.7109375" style="71" hidden="1"/>
    <col min="2857" max="3064" width="11.42578125" style="71" hidden="1"/>
    <col min="3065" max="3065" width="12.5703125" style="71" hidden="1"/>
    <col min="3066" max="3073" width="5.28515625" style="71" hidden="1"/>
    <col min="3074" max="3074" width="8" style="71" hidden="1"/>
    <col min="3075" max="3075" width="4" style="71" hidden="1"/>
    <col min="3076" max="3076" width="39.42578125" style="71" hidden="1"/>
    <col min="3077" max="3090" width="5.28515625" style="71" hidden="1"/>
    <col min="3091" max="3091" width="10.85546875" style="71" hidden="1"/>
    <col min="3092" max="3092" width="10.140625" style="71" hidden="1"/>
    <col min="3093" max="3093" width="10.5703125" style="71" hidden="1"/>
    <col min="3094" max="3094" width="9.5703125" style="71" hidden="1"/>
    <col min="3095" max="3095" width="5.42578125" style="71" hidden="1"/>
    <col min="3096" max="3096" width="9.28515625" style="71" hidden="1"/>
    <col min="3097" max="3097" width="8.28515625" style="71" hidden="1"/>
    <col min="3098" max="3098" width="9.140625" style="71" hidden="1"/>
    <col min="3099" max="3099" width="11.42578125" style="71" hidden="1"/>
    <col min="3100" max="3103" width="9.28515625" style="71" hidden="1"/>
    <col min="3104" max="3106" width="11.42578125" style="71" hidden="1"/>
    <col min="3107" max="3107" width="18.7109375" style="71" hidden="1"/>
    <col min="3108" max="3108" width="18.85546875" style="71" hidden="1"/>
    <col min="3109" max="3111" width="11.42578125" style="71" hidden="1"/>
    <col min="3112" max="3112" width="30.7109375" style="71" hidden="1"/>
    <col min="3113" max="3320" width="11.42578125" style="71" hidden="1"/>
    <col min="3321" max="3321" width="12.5703125" style="71" hidden="1"/>
    <col min="3322" max="3329" width="5.28515625" style="71" hidden="1"/>
    <col min="3330" max="3330" width="8" style="71" hidden="1"/>
    <col min="3331" max="3331" width="4" style="71" hidden="1"/>
    <col min="3332" max="3332" width="39.42578125" style="71" hidden="1"/>
    <col min="3333" max="3346" width="5.28515625" style="71" hidden="1"/>
    <col min="3347" max="3347" width="10.85546875" style="71" hidden="1"/>
    <col min="3348" max="3348" width="10.140625" style="71" hidden="1"/>
    <col min="3349" max="3349" width="10.5703125" style="71" hidden="1"/>
    <col min="3350" max="3350" width="9.5703125" style="71" hidden="1"/>
    <col min="3351" max="3351" width="5.42578125" style="71" hidden="1"/>
    <col min="3352" max="3352" width="9.28515625" style="71" hidden="1"/>
    <col min="3353" max="3353" width="8.28515625" style="71" hidden="1"/>
    <col min="3354" max="3354" width="9.140625" style="71" hidden="1"/>
    <col min="3355" max="3355" width="11.42578125" style="71" hidden="1"/>
    <col min="3356" max="3359" width="9.28515625" style="71" hidden="1"/>
    <col min="3360" max="3362" width="11.42578125" style="71" hidden="1"/>
    <col min="3363" max="3363" width="18.7109375" style="71" hidden="1"/>
    <col min="3364" max="3364" width="18.85546875" style="71" hidden="1"/>
    <col min="3365" max="3367" width="11.42578125" style="71" hidden="1"/>
    <col min="3368" max="3368" width="30.7109375" style="71" hidden="1"/>
    <col min="3369" max="3576" width="11.42578125" style="71" hidden="1"/>
    <col min="3577" max="3577" width="12.5703125" style="71" hidden="1"/>
    <col min="3578" max="3585" width="5.28515625" style="71" hidden="1"/>
    <col min="3586" max="3586" width="8" style="71" hidden="1"/>
    <col min="3587" max="3587" width="4" style="71" hidden="1"/>
    <col min="3588" max="3588" width="39.42578125" style="71" hidden="1"/>
    <col min="3589" max="3602" width="5.28515625" style="71" hidden="1"/>
    <col min="3603" max="3603" width="10.85546875" style="71" hidden="1"/>
    <col min="3604" max="3604" width="10.140625" style="71" hidden="1"/>
    <col min="3605" max="3605" width="10.5703125" style="71" hidden="1"/>
    <col min="3606" max="3606" width="9.5703125" style="71" hidden="1"/>
    <col min="3607" max="3607" width="5.42578125" style="71" hidden="1"/>
    <col min="3608" max="3608" width="9.28515625" style="71" hidden="1"/>
    <col min="3609" max="3609" width="8.28515625" style="71" hidden="1"/>
    <col min="3610" max="3610" width="9.140625" style="71" hidden="1"/>
    <col min="3611" max="3611" width="11.42578125" style="71" hidden="1"/>
    <col min="3612" max="3615" width="9.28515625" style="71" hidden="1"/>
    <col min="3616" max="3618" width="11.42578125" style="71" hidden="1"/>
    <col min="3619" max="3619" width="18.7109375" style="71" hidden="1"/>
    <col min="3620" max="3620" width="18.85546875" style="71" hidden="1"/>
    <col min="3621" max="3623" width="11.42578125" style="71" hidden="1"/>
    <col min="3624" max="3624" width="30.7109375" style="71" hidden="1"/>
    <col min="3625" max="3832" width="11.42578125" style="71" hidden="1"/>
    <col min="3833" max="3833" width="12.5703125" style="71" hidden="1"/>
    <col min="3834" max="3841" width="5.28515625" style="71" hidden="1"/>
    <col min="3842" max="3842" width="8" style="71" hidden="1"/>
    <col min="3843" max="3843" width="4" style="71" hidden="1"/>
    <col min="3844" max="3844" width="39.42578125" style="71" hidden="1"/>
    <col min="3845" max="3858" width="5.28515625" style="71" hidden="1"/>
    <col min="3859" max="3859" width="10.85546875" style="71" hidden="1"/>
    <col min="3860" max="3860" width="10.140625" style="71" hidden="1"/>
    <col min="3861" max="3861" width="10.5703125" style="71" hidden="1"/>
    <col min="3862" max="3862" width="9.5703125" style="71" hidden="1"/>
    <col min="3863" max="3863" width="5.42578125" style="71" hidden="1"/>
    <col min="3864" max="3864" width="9.28515625" style="71" hidden="1"/>
    <col min="3865" max="3865" width="8.28515625" style="71" hidden="1"/>
    <col min="3866" max="3866" width="9.140625" style="71" hidden="1"/>
    <col min="3867" max="3867" width="11.42578125" style="71" hidden="1"/>
    <col min="3868" max="3871" width="9.28515625" style="71" hidden="1"/>
    <col min="3872" max="3874" width="11.42578125" style="71" hidden="1"/>
    <col min="3875" max="3875" width="18.7109375" style="71" hidden="1"/>
    <col min="3876" max="3876" width="18.85546875" style="71" hidden="1"/>
    <col min="3877" max="3879" width="11.42578125" style="71" hidden="1"/>
    <col min="3880" max="3880" width="30.7109375" style="71" hidden="1"/>
    <col min="3881" max="4088" width="11.42578125" style="71" hidden="1"/>
    <col min="4089" max="4089" width="12.5703125" style="71" hidden="1"/>
    <col min="4090" max="4097" width="5.28515625" style="71" hidden="1"/>
    <col min="4098" max="4098" width="8" style="71" hidden="1"/>
    <col min="4099" max="4099" width="4" style="71" hidden="1"/>
    <col min="4100" max="4100" width="39.42578125" style="71" hidden="1"/>
    <col min="4101" max="4114" width="5.28515625" style="71" hidden="1"/>
    <col min="4115" max="4115" width="10.85546875" style="71" hidden="1"/>
    <col min="4116" max="4116" width="10.140625" style="71" hidden="1"/>
    <col min="4117" max="4117" width="10.5703125" style="71" hidden="1"/>
    <col min="4118" max="4118" width="9.5703125" style="71" hidden="1"/>
    <col min="4119" max="4119" width="5.42578125" style="71" hidden="1"/>
    <col min="4120" max="4120" width="9.28515625" style="71" hidden="1"/>
    <col min="4121" max="4121" width="8.28515625" style="71" hidden="1"/>
    <col min="4122" max="4122" width="9.140625" style="71" hidden="1"/>
    <col min="4123" max="4123" width="11.42578125" style="71" hidden="1"/>
    <col min="4124" max="4127" width="9.28515625" style="71" hidden="1"/>
    <col min="4128" max="4130" width="11.42578125" style="71" hidden="1"/>
    <col min="4131" max="4131" width="18.7109375" style="71" hidden="1"/>
    <col min="4132" max="4132" width="18.85546875" style="71" hidden="1"/>
    <col min="4133" max="4135" width="11.42578125" style="71" hidden="1"/>
    <col min="4136" max="4136" width="30.7109375" style="71" hidden="1"/>
    <col min="4137" max="4344" width="11.42578125" style="71" hidden="1"/>
    <col min="4345" max="4345" width="12.5703125" style="71" hidden="1"/>
    <col min="4346" max="4353" width="5.28515625" style="71" hidden="1"/>
    <col min="4354" max="4354" width="8" style="71" hidden="1"/>
    <col min="4355" max="4355" width="4" style="71" hidden="1"/>
    <col min="4356" max="4356" width="39.42578125" style="71" hidden="1"/>
    <col min="4357" max="4370" width="5.28515625" style="71" hidden="1"/>
    <col min="4371" max="4371" width="10.85546875" style="71" hidden="1"/>
    <col min="4372" max="4372" width="10.140625" style="71" hidden="1"/>
    <col min="4373" max="4373" width="10.5703125" style="71" hidden="1"/>
    <col min="4374" max="4374" width="9.5703125" style="71" hidden="1"/>
    <col min="4375" max="4375" width="5.42578125" style="71" hidden="1"/>
    <col min="4376" max="4376" width="9.28515625" style="71" hidden="1"/>
    <col min="4377" max="4377" width="8.28515625" style="71" hidden="1"/>
    <col min="4378" max="4378" width="9.140625" style="71" hidden="1"/>
    <col min="4379" max="4379" width="11.42578125" style="71" hidden="1"/>
    <col min="4380" max="4383" width="9.28515625" style="71" hidden="1"/>
    <col min="4384" max="4386" width="11.42578125" style="71" hidden="1"/>
    <col min="4387" max="4387" width="18.7109375" style="71" hidden="1"/>
    <col min="4388" max="4388" width="18.85546875" style="71" hidden="1"/>
    <col min="4389" max="4391" width="11.42578125" style="71" hidden="1"/>
    <col min="4392" max="4392" width="30.7109375" style="71" hidden="1"/>
    <col min="4393" max="4600" width="11.42578125" style="71" hidden="1"/>
    <col min="4601" max="4601" width="12.5703125" style="71" hidden="1"/>
    <col min="4602" max="4609" width="5.28515625" style="71" hidden="1"/>
    <col min="4610" max="4610" width="8" style="71" hidden="1"/>
    <col min="4611" max="4611" width="4" style="71" hidden="1"/>
    <col min="4612" max="4612" width="39.42578125" style="71" hidden="1"/>
    <col min="4613" max="4626" width="5.28515625" style="71" hidden="1"/>
    <col min="4627" max="4627" width="10.85546875" style="71" hidden="1"/>
    <col min="4628" max="4628" width="10.140625" style="71" hidden="1"/>
    <col min="4629" max="4629" width="10.5703125" style="71" hidden="1"/>
    <col min="4630" max="4630" width="9.5703125" style="71" hidden="1"/>
    <col min="4631" max="4631" width="5.42578125" style="71" hidden="1"/>
    <col min="4632" max="4632" width="9.28515625" style="71" hidden="1"/>
    <col min="4633" max="4633" width="8.28515625" style="71" hidden="1"/>
    <col min="4634" max="4634" width="9.140625" style="71" hidden="1"/>
    <col min="4635" max="4635" width="11.42578125" style="71" hidden="1"/>
    <col min="4636" max="4639" width="9.28515625" style="71" hidden="1"/>
    <col min="4640" max="4642" width="11.42578125" style="71" hidden="1"/>
    <col min="4643" max="4643" width="18.7109375" style="71" hidden="1"/>
    <col min="4644" max="4644" width="18.85546875" style="71" hidden="1"/>
    <col min="4645" max="4647" width="11.42578125" style="71" hidden="1"/>
    <col min="4648" max="4648" width="30.7109375" style="71" hidden="1"/>
    <col min="4649" max="4856" width="11.42578125" style="71" hidden="1"/>
    <col min="4857" max="4857" width="12.5703125" style="71" hidden="1"/>
    <col min="4858" max="4865" width="5.28515625" style="71" hidden="1"/>
    <col min="4866" max="4866" width="8" style="71" hidden="1"/>
    <col min="4867" max="4867" width="4" style="71" hidden="1"/>
    <col min="4868" max="4868" width="39.42578125" style="71" hidden="1"/>
    <col min="4869" max="4882" width="5.28515625" style="71" hidden="1"/>
    <col min="4883" max="4883" width="10.85546875" style="71" hidden="1"/>
    <col min="4884" max="4884" width="10.140625" style="71" hidden="1"/>
    <col min="4885" max="4885" width="10.5703125" style="71" hidden="1"/>
    <col min="4886" max="4886" width="9.5703125" style="71" hidden="1"/>
    <col min="4887" max="4887" width="5.42578125" style="71" hidden="1"/>
    <col min="4888" max="4888" width="9.28515625" style="71" hidden="1"/>
    <col min="4889" max="4889" width="8.28515625" style="71" hidden="1"/>
    <col min="4890" max="4890" width="9.140625" style="71" hidden="1"/>
    <col min="4891" max="4891" width="11.42578125" style="71" hidden="1"/>
    <col min="4892" max="4895" width="9.28515625" style="71" hidden="1"/>
    <col min="4896" max="4898" width="11.42578125" style="71" hidden="1"/>
    <col min="4899" max="4899" width="18.7109375" style="71" hidden="1"/>
    <col min="4900" max="4900" width="18.85546875" style="71" hidden="1"/>
    <col min="4901" max="4903" width="11.42578125" style="71" hidden="1"/>
    <col min="4904" max="4904" width="30.7109375" style="71" hidden="1"/>
    <col min="4905" max="5112" width="11.42578125" style="71" hidden="1"/>
    <col min="5113" max="5113" width="12.5703125" style="71" hidden="1"/>
    <col min="5114" max="5121" width="5.28515625" style="71" hidden="1"/>
    <col min="5122" max="5122" width="8" style="71" hidden="1"/>
    <col min="5123" max="5123" width="4" style="71" hidden="1"/>
    <col min="5124" max="5124" width="39.42578125" style="71" hidden="1"/>
    <col min="5125" max="5138" width="5.28515625" style="71" hidden="1"/>
    <col min="5139" max="5139" width="10.85546875" style="71" hidden="1"/>
    <col min="5140" max="5140" width="10.140625" style="71" hidden="1"/>
    <col min="5141" max="5141" width="10.5703125" style="71" hidden="1"/>
    <col min="5142" max="5142" width="9.5703125" style="71" hidden="1"/>
    <col min="5143" max="5143" width="5.42578125" style="71" hidden="1"/>
    <col min="5144" max="5144" width="9.28515625" style="71" hidden="1"/>
    <col min="5145" max="5145" width="8.28515625" style="71" hidden="1"/>
    <col min="5146" max="5146" width="9.140625" style="71" hidden="1"/>
    <col min="5147" max="5147" width="11.42578125" style="71" hidden="1"/>
    <col min="5148" max="5151" width="9.28515625" style="71" hidden="1"/>
    <col min="5152" max="5154" width="11.42578125" style="71" hidden="1"/>
    <col min="5155" max="5155" width="18.7109375" style="71" hidden="1"/>
    <col min="5156" max="5156" width="18.85546875" style="71" hidden="1"/>
    <col min="5157" max="5159" width="11.42578125" style="71" hidden="1"/>
    <col min="5160" max="5160" width="30.7109375" style="71" hidden="1"/>
    <col min="5161" max="5368" width="11.42578125" style="71" hidden="1"/>
    <col min="5369" max="5369" width="12.5703125" style="71" hidden="1"/>
    <col min="5370" max="5377" width="5.28515625" style="71" hidden="1"/>
    <col min="5378" max="5378" width="8" style="71" hidden="1"/>
    <col min="5379" max="5379" width="4" style="71" hidden="1"/>
    <col min="5380" max="5380" width="39.42578125" style="71" hidden="1"/>
    <col min="5381" max="5394" width="5.28515625" style="71" hidden="1"/>
    <col min="5395" max="5395" width="10.85546875" style="71" hidden="1"/>
    <col min="5396" max="5396" width="10.140625" style="71" hidden="1"/>
    <col min="5397" max="5397" width="10.5703125" style="71" hidden="1"/>
    <col min="5398" max="5398" width="9.5703125" style="71" hidden="1"/>
    <col min="5399" max="5399" width="5.42578125" style="71" hidden="1"/>
    <col min="5400" max="5400" width="9.28515625" style="71" hidden="1"/>
    <col min="5401" max="5401" width="8.28515625" style="71" hidden="1"/>
    <col min="5402" max="5402" width="9.140625" style="71" hidden="1"/>
    <col min="5403" max="5403" width="11.42578125" style="71" hidden="1"/>
    <col min="5404" max="5407" width="9.28515625" style="71" hidden="1"/>
    <col min="5408" max="5410" width="11.42578125" style="71" hidden="1"/>
    <col min="5411" max="5411" width="18.7109375" style="71" hidden="1"/>
    <col min="5412" max="5412" width="18.85546875" style="71" hidden="1"/>
    <col min="5413" max="5415" width="11.42578125" style="71" hidden="1"/>
    <col min="5416" max="5416" width="30.7109375" style="71" hidden="1"/>
    <col min="5417" max="5624" width="11.42578125" style="71" hidden="1"/>
    <col min="5625" max="5625" width="12.5703125" style="71" hidden="1"/>
    <col min="5626" max="5633" width="5.28515625" style="71" hidden="1"/>
    <col min="5634" max="5634" width="8" style="71" hidden="1"/>
    <col min="5635" max="5635" width="4" style="71" hidden="1"/>
    <col min="5636" max="5636" width="39.42578125" style="71" hidden="1"/>
    <col min="5637" max="5650" width="5.28515625" style="71" hidden="1"/>
    <col min="5651" max="5651" width="10.85546875" style="71" hidden="1"/>
    <col min="5652" max="5652" width="10.140625" style="71" hidden="1"/>
    <col min="5653" max="5653" width="10.5703125" style="71" hidden="1"/>
    <col min="5654" max="5654" width="9.5703125" style="71" hidden="1"/>
    <col min="5655" max="5655" width="5.42578125" style="71" hidden="1"/>
    <col min="5656" max="5656" width="9.28515625" style="71" hidden="1"/>
    <col min="5657" max="5657" width="8.28515625" style="71" hidden="1"/>
    <col min="5658" max="5658" width="9.140625" style="71" hidden="1"/>
    <col min="5659" max="5659" width="11.42578125" style="71" hidden="1"/>
    <col min="5660" max="5663" width="9.28515625" style="71" hidden="1"/>
    <col min="5664" max="5666" width="11.42578125" style="71" hidden="1"/>
    <col min="5667" max="5667" width="18.7109375" style="71" hidden="1"/>
    <col min="5668" max="5668" width="18.85546875" style="71" hidden="1"/>
    <col min="5669" max="5671" width="11.42578125" style="71" hidden="1"/>
    <col min="5672" max="5672" width="30.7109375" style="71" hidden="1"/>
    <col min="5673" max="5880" width="11.42578125" style="71" hidden="1"/>
    <col min="5881" max="5881" width="12.5703125" style="71" hidden="1"/>
    <col min="5882" max="5889" width="5.28515625" style="71" hidden="1"/>
    <col min="5890" max="5890" width="8" style="71" hidden="1"/>
    <col min="5891" max="5891" width="4" style="71" hidden="1"/>
    <col min="5892" max="5892" width="39.42578125" style="71" hidden="1"/>
    <col min="5893" max="5906" width="5.28515625" style="71" hidden="1"/>
    <col min="5907" max="5907" width="10.85546875" style="71" hidden="1"/>
    <col min="5908" max="5908" width="10.140625" style="71" hidden="1"/>
    <col min="5909" max="5909" width="10.5703125" style="71" hidden="1"/>
    <col min="5910" max="5910" width="9.5703125" style="71" hidden="1"/>
    <col min="5911" max="5911" width="5.42578125" style="71" hidden="1"/>
    <col min="5912" max="5912" width="9.28515625" style="71" hidden="1"/>
    <col min="5913" max="5913" width="8.28515625" style="71" hidden="1"/>
    <col min="5914" max="5914" width="9.140625" style="71" hidden="1"/>
    <col min="5915" max="5915" width="11.42578125" style="71" hidden="1"/>
    <col min="5916" max="5919" width="9.28515625" style="71" hidden="1"/>
    <col min="5920" max="5922" width="11.42578125" style="71" hidden="1"/>
    <col min="5923" max="5923" width="18.7109375" style="71" hidden="1"/>
    <col min="5924" max="5924" width="18.85546875" style="71" hidden="1"/>
    <col min="5925" max="5927" width="11.42578125" style="71" hidden="1"/>
    <col min="5928" max="5928" width="30.7109375" style="71" hidden="1"/>
    <col min="5929" max="6136" width="11.42578125" style="71" hidden="1"/>
    <col min="6137" max="6137" width="12.5703125" style="71" hidden="1"/>
    <col min="6138" max="6145" width="5.28515625" style="71" hidden="1"/>
    <col min="6146" max="6146" width="8" style="71" hidden="1"/>
    <col min="6147" max="6147" width="4" style="71" hidden="1"/>
    <col min="6148" max="6148" width="39.42578125" style="71" hidden="1"/>
    <col min="6149" max="6162" width="5.28515625" style="71" hidden="1"/>
    <col min="6163" max="6163" width="10.85546875" style="71" hidden="1"/>
    <col min="6164" max="6164" width="10.140625" style="71" hidden="1"/>
    <col min="6165" max="6165" width="10.5703125" style="71" hidden="1"/>
    <col min="6166" max="6166" width="9.5703125" style="71" hidden="1"/>
    <col min="6167" max="6167" width="5.42578125" style="71" hidden="1"/>
    <col min="6168" max="6168" width="9.28515625" style="71" hidden="1"/>
    <col min="6169" max="6169" width="8.28515625" style="71" hidden="1"/>
    <col min="6170" max="6170" width="9.140625" style="71" hidden="1"/>
    <col min="6171" max="6171" width="11.42578125" style="71" hidden="1"/>
    <col min="6172" max="6175" width="9.28515625" style="71" hidden="1"/>
    <col min="6176" max="6178" width="11.42578125" style="71" hidden="1"/>
    <col min="6179" max="6179" width="18.7109375" style="71" hidden="1"/>
    <col min="6180" max="6180" width="18.85546875" style="71" hidden="1"/>
    <col min="6181" max="6183" width="11.42578125" style="71" hidden="1"/>
    <col min="6184" max="6184" width="30.7109375" style="71" hidden="1"/>
    <col min="6185" max="6392" width="11.42578125" style="71" hidden="1"/>
    <col min="6393" max="6393" width="12.5703125" style="71" hidden="1"/>
    <col min="6394" max="6401" width="5.28515625" style="71" hidden="1"/>
    <col min="6402" max="6402" width="8" style="71" hidden="1"/>
    <col min="6403" max="6403" width="4" style="71" hidden="1"/>
    <col min="6404" max="6404" width="39.42578125" style="71" hidden="1"/>
    <col min="6405" max="6418" width="5.28515625" style="71" hidden="1"/>
    <col min="6419" max="6419" width="10.85546875" style="71" hidden="1"/>
    <col min="6420" max="6420" width="10.140625" style="71" hidden="1"/>
    <col min="6421" max="6421" width="10.5703125" style="71" hidden="1"/>
    <col min="6422" max="6422" width="9.5703125" style="71" hidden="1"/>
    <col min="6423" max="6423" width="5.42578125" style="71" hidden="1"/>
    <col min="6424" max="6424" width="9.28515625" style="71" hidden="1"/>
    <col min="6425" max="6425" width="8.28515625" style="71" hidden="1"/>
    <col min="6426" max="6426" width="9.140625" style="71" hidden="1"/>
    <col min="6427" max="6427" width="11.42578125" style="71" hidden="1"/>
    <col min="6428" max="6431" width="9.28515625" style="71" hidden="1"/>
    <col min="6432" max="6434" width="11.42578125" style="71" hidden="1"/>
    <col min="6435" max="6435" width="18.7109375" style="71" hidden="1"/>
    <col min="6436" max="6436" width="18.85546875" style="71" hidden="1"/>
    <col min="6437" max="6439" width="11.42578125" style="71" hidden="1"/>
    <col min="6440" max="6440" width="30.7109375" style="71" hidden="1"/>
    <col min="6441" max="6648" width="11.42578125" style="71" hidden="1"/>
    <col min="6649" max="6649" width="12.5703125" style="71" hidden="1"/>
    <col min="6650" max="6657" width="5.28515625" style="71" hidden="1"/>
    <col min="6658" max="6658" width="8" style="71" hidden="1"/>
    <col min="6659" max="6659" width="4" style="71" hidden="1"/>
    <col min="6660" max="6660" width="39.42578125" style="71" hidden="1"/>
    <col min="6661" max="6674" width="5.28515625" style="71" hidden="1"/>
    <col min="6675" max="6675" width="10.85546875" style="71" hidden="1"/>
    <col min="6676" max="6676" width="10.140625" style="71" hidden="1"/>
    <col min="6677" max="6677" width="10.5703125" style="71" hidden="1"/>
    <col min="6678" max="6678" width="9.5703125" style="71" hidden="1"/>
    <col min="6679" max="6679" width="5.42578125" style="71" hidden="1"/>
    <col min="6680" max="6680" width="9.28515625" style="71" hidden="1"/>
    <col min="6681" max="6681" width="8.28515625" style="71" hidden="1"/>
    <col min="6682" max="6682" width="9.140625" style="71" hidden="1"/>
    <col min="6683" max="6683" width="11.42578125" style="71" hidden="1"/>
    <col min="6684" max="6687" width="9.28515625" style="71" hidden="1"/>
    <col min="6688" max="6690" width="11.42578125" style="71" hidden="1"/>
    <col min="6691" max="6691" width="18.7109375" style="71" hidden="1"/>
    <col min="6692" max="6692" width="18.85546875" style="71" hidden="1"/>
    <col min="6693" max="6695" width="11.42578125" style="71" hidden="1"/>
    <col min="6696" max="6696" width="30.7109375" style="71" hidden="1"/>
    <col min="6697" max="6904" width="11.42578125" style="71" hidden="1"/>
    <col min="6905" max="6905" width="12.5703125" style="71" hidden="1"/>
    <col min="6906" max="6913" width="5.28515625" style="71" hidden="1"/>
    <col min="6914" max="6914" width="8" style="71" hidden="1"/>
    <col min="6915" max="6915" width="4" style="71" hidden="1"/>
    <col min="6916" max="6916" width="39.42578125" style="71" hidden="1"/>
    <col min="6917" max="6930" width="5.28515625" style="71" hidden="1"/>
    <col min="6931" max="6931" width="10.85546875" style="71" hidden="1"/>
    <col min="6932" max="6932" width="10.140625" style="71" hidden="1"/>
    <col min="6933" max="6933" width="10.5703125" style="71" hidden="1"/>
    <col min="6934" max="6934" width="9.5703125" style="71" hidden="1"/>
    <col min="6935" max="6935" width="5.42578125" style="71" hidden="1"/>
    <col min="6936" max="6936" width="9.28515625" style="71" hidden="1"/>
    <col min="6937" max="6937" width="8.28515625" style="71" hidden="1"/>
    <col min="6938" max="6938" width="9.140625" style="71" hidden="1"/>
    <col min="6939" max="6939" width="11.42578125" style="71" hidden="1"/>
    <col min="6940" max="6943" width="9.28515625" style="71" hidden="1"/>
    <col min="6944" max="6946" width="11.42578125" style="71" hidden="1"/>
    <col min="6947" max="6947" width="18.7109375" style="71" hidden="1"/>
    <col min="6948" max="6948" width="18.85546875" style="71" hidden="1"/>
    <col min="6949" max="6951" width="11.42578125" style="71" hidden="1"/>
    <col min="6952" max="6952" width="30.7109375" style="71" hidden="1"/>
    <col min="6953" max="7160" width="11.42578125" style="71" hidden="1"/>
    <col min="7161" max="7161" width="12.5703125" style="71" hidden="1"/>
    <col min="7162" max="7169" width="5.28515625" style="71" hidden="1"/>
    <col min="7170" max="7170" width="8" style="71" hidden="1"/>
    <col min="7171" max="7171" width="4" style="71" hidden="1"/>
    <col min="7172" max="7172" width="39.42578125" style="71" hidden="1"/>
    <col min="7173" max="7186" width="5.28515625" style="71" hidden="1"/>
    <col min="7187" max="7187" width="10.85546875" style="71" hidden="1"/>
    <col min="7188" max="7188" width="10.140625" style="71" hidden="1"/>
    <col min="7189" max="7189" width="10.5703125" style="71" hidden="1"/>
    <col min="7190" max="7190" width="9.5703125" style="71" hidden="1"/>
    <col min="7191" max="7191" width="5.42578125" style="71" hidden="1"/>
    <col min="7192" max="7192" width="9.28515625" style="71" hidden="1"/>
    <col min="7193" max="7193" width="8.28515625" style="71" hidden="1"/>
    <col min="7194" max="7194" width="9.140625" style="71" hidden="1"/>
    <col min="7195" max="7195" width="11.42578125" style="71" hidden="1"/>
    <col min="7196" max="7199" width="9.28515625" style="71" hidden="1"/>
    <col min="7200" max="7202" width="11.42578125" style="71" hidden="1"/>
    <col min="7203" max="7203" width="18.7109375" style="71" hidden="1"/>
    <col min="7204" max="7204" width="18.85546875" style="71" hidden="1"/>
    <col min="7205" max="7207" width="11.42578125" style="71" hidden="1"/>
    <col min="7208" max="7208" width="30.7109375" style="71" hidden="1"/>
    <col min="7209" max="7416" width="11.42578125" style="71" hidden="1"/>
    <col min="7417" max="7417" width="12.5703125" style="71" hidden="1"/>
    <col min="7418" max="7425" width="5.28515625" style="71" hidden="1"/>
    <col min="7426" max="7426" width="8" style="71" hidden="1"/>
    <col min="7427" max="7427" width="4" style="71" hidden="1"/>
    <col min="7428" max="7428" width="39.42578125" style="71" hidden="1"/>
    <col min="7429" max="7442" width="5.28515625" style="71" hidden="1"/>
    <col min="7443" max="7443" width="10.85546875" style="71" hidden="1"/>
    <col min="7444" max="7444" width="10.140625" style="71" hidden="1"/>
    <col min="7445" max="7445" width="10.5703125" style="71" hidden="1"/>
    <col min="7446" max="7446" width="9.5703125" style="71" hidden="1"/>
    <col min="7447" max="7447" width="5.42578125" style="71" hidden="1"/>
    <col min="7448" max="7448" width="9.28515625" style="71" hidden="1"/>
    <col min="7449" max="7449" width="8.28515625" style="71" hidden="1"/>
    <col min="7450" max="7450" width="9.140625" style="71" hidden="1"/>
    <col min="7451" max="7451" width="11.42578125" style="71" hidden="1"/>
    <col min="7452" max="7455" width="9.28515625" style="71" hidden="1"/>
    <col min="7456" max="7458" width="11.42578125" style="71" hidden="1"/>
    <col min="7459" max="7459" width="18.7109375" style="71" hidden="1"/>
    <col min="7460" max="7460" width="18.85546875" style="71" hidden="1"/>
    <col min="7461" max="7463" width="11.42578125" style="71" hidden="1"/>
    <col min="7464" max="7464" width="30.7109375" style="71" hidden="1"/>
    <col min="7465" max="7672" width="11.42578125" style="71" hidden="1"/>
    <col min="7673" max="7673" width="12.5703125" style="71" hidden="1"/>
    <col min="7674" max="7681" width="5.28515625" style="71" hidden="1"/>
    <col min="7682" max="7682" width="8" style="71" hidden="1"/>
    <col min="7683" max="7683" width="4" style="71" hidden="1"/>
    <col min="7684" max="7684" width="39.42578125" style="71" hidden="1"/>
    <col min="7685" max="7698" width="5.28515625" style="71" hidden="1"/>
    <col min="7699" max="7699" width="10.85546875" style="71" hidden="1"/>
    <col min="7700" max="7700" width="10.140625" style="71" hidden="1"/>
    <col min="7701" max="7701" width="10.5703125" style="71" hidden="1"/>
    <col min="7702" max="7702" width="9.5703125" style="71" hidden="1"/>
    <col min="7703" max="7703" width="5.42578125" style="71" hidden="1"/>
    <col min="7704" max="7704" width="9.28515625" style="71" hidden="1"/>
    <col min="7705" max="7705" width="8.28515625" style="71" hidden="1"/>
    <col min="7706" max="7706" width="9.140625" style="71" hidden="1"/>
    <col min="7707" max="7707" width="11.42578125" style="71" hidden="1"/>
    <col min="7708" max="7711" width="9.28515625" style="71" hidden="1"/>
    <col min="7712" max="7714" width="11.42578125" style="71" hidden="1"/>
    <col min="7715" max="7715" width="18.7109375" style="71" hidden="1"/>
    <col min="7716" max="7716" width="18.85546875" style="71" hidden="1"/>
    <col min="7717" max="7719" width="11.42578125" style="71" hidden="1"/>
    <col min="7720" max="7720" width="30.7109375" style="71" hidden="1"/>
    <col min="7721" max="7928" width="11.42578125" style="71" hidden="1"/>
    <col min="7929" max="7929" width="12.5703125" style="71" hidden="1"/>
    <col min="7930" max="7937" width="5.28515625" style="71" hidden="1"/>
    <col min="7938" max="7938" width="8" style="71" hidden="1"/>
    <col min="7939" max="7939" width="4" style="71" hidden="1"/>
    <col min="7940" max="7940" width="39.42578125" style="71" hidden="1"/>
    <col min="7941" max="7954" width="5.28515625" style="71" hidden="1"/>
    <col min="7955" max="7955" width="10.85546875" style="71" hidden="1"/>
    <col min="7956" max="7956" width="10.140625" style="71" hidden="1"/>
    <col min="7957" max="7957" width="10.5703125" style="71" hidden="1"/>
    <col min="7958" max="7958" width="9.5703125" style="71" hidden="1"/>
    <col min="7959" max="7959" width="5.42578125" style="71" hidden="1"/>
    <col min="7960" max="7960" width="9.28515625" style="71" hidden="1"/>
    <col min="7961" max="7961" width="8.28515625" style="71" hidden="1"/>
    <col min="7962" max="7962" width="9.140625" style="71" hidden="1"/>
    <col min="7963" max="7963" width="11.42578125" style="71" hidden="1"/>
    <col min="7964" max="7967" width="9.28515625" style="71" hidden="1"/>
    <col min="7968" max="7970" width="11.42578125" style="71" hidden="1"/>
    <col min="7971" max="7971" width="18.7109375" style="71" hidden="1"/>
    <col min="7972" max="7972" width="18.85546875" style="71" hidden="1"/>
    <col min="7973" max="7975" width="11.42578125" style="71" hidden="1"/>
    <col min="7976" max="7976" width="30.7109375" style="71" hidden="1"/>
    <col min="7977" max="8184" width="11.42578125" style="71" hidden="1"/>
    <col min="8185" max="8185" width="12.5703125" style="71" hidden="1"/>
    <col min="8186" max="8193" width="5.28515625" style="71" hidden="1"/>
    <col min="8194" max="8194" width="8" style="71" hidden="1"/>
    <col min="8195" max="8195" width="4" style="71" hidden="1"/>
    <col min="8196" max="8196" width="39.42578125" style="71" hidden="1"/>
    <col min="8197" max="8210" width="5.28515625" style="71" hidden="1"/>
    <col min="8211" max="8211" width="10.85546875" style="71" hidden="1"/>
    <col min="8212" max="8212" width="10.140625" style="71" hidden="1"/>
    <col min="8213" max="8213" width="10.5703125" style="71" hidden="1"/>
    <col min="8214" max="8214" width="9.5703125" style="71" hidden="1"/>
    <col min="8215" max="8215" width="5.42578125" style="71" hidden="1"/>
    <col min="8216" max="8216" width="9.28515625" style="71" hidden="1"/>
    <col min="8217" max="8217" width="8.28515625" style="71" hidden="1"/>
    <col min="8218" max="8218" width="9.140625" style="71" hidden="1"/>
    <col min="8219" max="8219" width="11.42578125" style="71" hidden="1"/>
    <col min="8220" max="8223" width="9.28515625" style="71" hidden="1"/>
    <col min="8224" max="8226" width="11.42578125" style="71" hidden="1"/>
    <col min="8227" max="8227" width="18.7109375" style="71" hidden="1"/>
    <col min="8228" max="8228" width="18.85546875" style="71" hidden="1"/>
    <col min="8229" max="8231" width="11.42578125" style="71" hidden="1"/>
    <col min="8232" max="8232" width="30.7109375" style="71" hidden="1"/>
    <col min="8233" max="8440" width="11.42578125" style="71" hidden="1"/>
    <col min="8441" max="8441" width="12.5703125" style="71" hidden="1"/>
    <col min="8442" max="8449" width="5.28515625" style="71" hidden="1"/>
    <col min="8450" max="8450" width="8" style="71" hidden="1"/>
    <col min="8451" max="8451" width="4" style="71" hidden="1"/>
    <col min="8452" max="8452" width="39.42578125" style="71" hidden="1"/>
    <col min="8453" max="8466" width="5.28515625" style="71" hidden="1"/>
    <col min="8467" max="8467" width="10.85546875" style="71" hidden="1"/>
    <col min="8468" max="8468" width="10.140625" style="71" hidden="1"/>
    <col min="8469" max="8469" width="10.5703125" style="71" hidden="1"/>
    <col min="8470" max="8470" width="9.5703125" style="71" hidden="1"/>
    <col min="8471" max="8471" width="5.42578125" style="71" hidden="1"/>
    <col min="8472" max="8472" width="9.28515625" style="71" hidden="1"/>
    <col min="8473" max="8473" width="8.28515625" style="71" hidden="1"/>
    <col min="8474" max="8474" width="9.140625" style="71" hidden="1"/>
    <col min="8475" max="8475" width="11.42578125" style="71" hidden="1"/>
    <col min="8476" max="8479" width="9.28515625" style="71" hidden="1"/>
    <col min="8480" max="8482" width="11.42578125" style="71" hidden="1"/>
    <col min="8483" max="8483" width="18.7109375" style="71" hidden="1"/>
    <col min="8484" max="8484" width="18.85546875" style="71" hidden="1"/>
    <col min="8485" max="8487" width="11.42578125" style="71" hidden="1"/>
    <col min="8488" max="8488" width="30.7109375" style="71" hidden="1"/>
    <col min="8489" max="8696" width="11.42578125" style="71" hidden="1"/>
    <col min="8697" max="8697" width="12.5703125" style="71" hidden="1"/>
    <col min="8698" max="8705" width="5.28515625" style="71" hidden="1"/>
    <col min="8706" max="8706" width="8" style="71" hidden="1"/>
    <col min="8707" max="8707" width="4" style="71" hidden="1"/>
    <col min="8708" max="8708" width="39.42578125" style="71" hidden="1"/>
    <col min="8709" max="8722" width="5.28515625" style="71" hidden="1"/>
    <col min="8723" max="8723" width="10.85546875" style="71" hidden="1"/>
    <col min="8724" max="8724" width="10.140625" style="71" hidden="1"/>
    <col min="8725" max="8725" width="10.5703125" style="71" hidden="1"/>
    <col min="8726" max="8726" width="9.5703125" style="71" hidden="1"/>
    <col min="8727" max="8727" width="5.42578125" style="71" hidden="1"/>
    <col min="8728" max="8728" width="9.28515625" style="71" hidden="1"/>
    <col min="8729" max="8729" width="8.28515625" style="71" hidden="1"/>
    <col min="8730" max="8730" width="9.140625" style="71" hidden="1"/>
    <col min="8731" max="8731" width="11.42578125" style="71" hidden="1"/>
    <col min="8732" max="8735" width="9.28515625" style="71" hidden="1"/>
    <col min="8736" max="8738" width="11.42578125" style="71" hidden="1"/>
    <col min="8739" max="8739" width="18.7109375" style="71" hidden="1"/>
    <col min="8740" max="8740" width="18.85546875" style="71" hidden="1"/>
    <col min="8741" max="8743" width="11.42578125" style="71" hidden="1"/>
    <col min="8744" max="8744" width="30.7109375" style="71" hidden="1"/>
    <col min="8745" max="8952" width="11.42578125" style="71" hidden="1"/>
    <col min="8953" max="8953" width="12.5703125" style="71" hidden="1"/>
    <col min="8954" max="8961" width="5.28515625" style="71" hidden="1"/>
    <col min="8962" max="8962" width="8" style="71" hidden="1"/>
    <col min="8963" max="8963" width="4" style="71" hidden="1"/>
    <col min="8964" max="8964" width="39.42578125" style="71" hidden="1"/>
    <col min="8965" max="8978" width="5.28515625" style="71" hidden="1"/>
    <col min="8979" max="8979" width="10.85546875" style="71" hidden="1"/>
    <col min="8980" max="8980" width="10.140625" style="71" hidden="1"/>
    <col min="8981" max="8981" width="10.5703125" style="71" hidden="1"/>
    <col min="8982" max="8982" width="9.5703125" style="71" hidden="1"/>
    <col min="8983" max="8983" width="5.42578125" style="71" hidden="1"/>
    <col min="8984" max="8984" width="9.28515625" style="71" hidden="1"/>
    <col min="8985" max="8985" width="8.28515625" style="71" hidden="1"/>
    <col min="8986" max="8986" width="9.140625" style="71" hidden="1"/>
    <col min="8987" max="8987" width="11.42578125" style="71" hidden="1"/>
    <col min="8988" max="8991" width="9.28515625" style="71" hidden="1"/>
    <col min="8992" max="8994" width="11.42578125" style="71" hidden="1"/>
    <col min="8995" max="8995" width="18.7109375" style="71" hidden="1"/>
    <col min="8996" max="8996" width="18.85546875" style="71" hidden="1"/>
    <col min="8997" max="8999" width="11.42578125" style="71" hidden="1"/>
    <col min="9000" max="9000" width="30.7109375" style="71" hidden="1"/>
    <col min="9001" max="9208" width="11.42578125" style="71" hidden="1"/>
    <col min="9209" max="9209" width="12.5703125" style="71" hidden="1"/>
    <col min="9210" max="9217" width="5.28515625" style="71" hidden="1"/>
    <col min="9218" max="9218" width="8" style="71" hidden="1"/>
    <col min="9219" max="9219" width="4" style="71" hidden="1"/>
    <col min="9220" max="9220" width="39.42578125" style="71" hidden="1"/>
    <col min="9221" max="9234" width="5.28515625" style="71" hidden="1"/>
    <col min="9235" max="9235" width="10.85546875" style="71" hidden="1"/>
    <col min="9236" max="9236" width="10.140625" style="71" hidden="1"/>
    <col min="9237" max="9237" width="10.5703125" style="71" hidden="1"/>
    <col min="9238" max="9238" width="9.5703125" style="71" hidden="1"/>
    <col min="9239" max="9239" width="5.42578125" style="71" hidden="1"/>
    <col min="9240" max="9240" width="9.28515625" style="71" hidden="1"/>
    <col min="9241" max="9241" width="8.28515625" style="71" hidden="1"/>
    <col min="9242" max="9242" width="9.140625" style="71" hidden="1"/>
    <col min="9243" max="9243" width="11.42578125" style="71" hidden="1"/>
    <col min="9244" max="9247" width="9.28515625" style="71" hidden="1"/>
    <col min="9248" max="9250" width="11.42578125" style="71" hidden="1"/>
    <col min="9251" max="9251" width="18.7109375" style="71" hidden="1"/>
    <col min="9252" max="9252" width="18.85546875" style="71" hidden="1"/>
    <col min="9253" max="9255" width="11.42578125" style="71" hidden="1"/>
    <col min="9256" max="9256" width="30.7109375" style="71" hidden="1"/>
    <col min="9257" max="9464" width="11.42578125" style="71" hidden="1"/>
    <col min="9465" max="9465" width="12.5703125" style="71" hidden="1"/>
    <col min="9466" max="9473" width="5.28515625" style="71" hidden="1"/>
    <col min="9474" max="9474" width="8" style="71" hidden="1"/>
    <col min="9475" max="9475" width="4" style="71" hidden="1"/>
    <col min="9476" max="9476" width="39.42578125" style="71" hidden="1"/>
    <col min="9477" max="9490" width="5.28515625" style="71" hidden="1"/>
    <col min="9491" max="9491" width="10.85546875" style="71" hidden="1"/>
    <col min="9492" max="9492" width="10.140625" style="71" hidden="1"/>
    <col min="9493" max="9493" width="10.5703125" style="71" hidden="1"/>
    <col min="9494" max="9494" width="9.5703125" style="71" hidden="1"/>
    <col min="9495" max="9495" width="5.42578125" style="71" hidden="1"/>
    <col min="9496" max="9496" width="9.28515625" style="71" hidden="1"/>
    <col min="9497" max="9497" width="8.28515625" style="71" hidden="1"/>
    <col min="9498" max="9498" width="9.140625" style="71" hidden="1"/>
    <col min="9499" max="9499" width="11.42578125" style="71" hidden="1"/>
    <col min="9500" max="9503" width="9.28515625" style="71" hidden="1"/>
    <col min="9504" max="9506" width="11.42578125" style="71" hidden="1"/>
    <col min="9507" max="9507" width="18.7109375" style="71" hidden="1"/>
    <col min="9508" max="9508" width="18.85546875" style="71" hidden="1"/>
    <col min="9509" max="9511" width="11.42578125" style="71" hidden="1"/>
    <col min="9512" max="9512" width="30.7109375" style="71" hidden="1"/>
    <col min="9513" max="9720" width="11.42578125" style="71" hidden="1"/>
    <col min="9721" max="9721" width="12.5703125" style="71" hidden="1"/>
    <col min="9722" max="9729" width="5.28515625" style="71" hidden="1"/>
    <col min="9730" max="9730" width="8" style="71" hidden="1"/>
    <col min="9731" max="9731" width="4" style="71" hidden="1"/>
    <col min="9732" max="9732" width="39.42578125" style="71" hidden="1"/>
    <col min="9733" max="9746" width="5.28515625" style="71" hidden="1"/>
    <col min="9747" max="9747" width="10.85546875" style="71" hidden="1"/>
    <col min="9748" max="9748" width="10.140625" style="71" hidden="1"/>
    <col min="9749" max="9749" width="10.5703125" style="71" hidden="1"/>
    <col min="9750" max="9750" width="9.5703125" style="71" hidden="1"/>
    <col min="9751" max="9751" width="5.42578125" style="71" hidden="1"/>
    <col min="9752" max="9752" width="9.28515625" style="71" hidden="1"/>
    <col min="9753" max="9753" width="8.28515625" style="71" hidden="1"/>
    <col min="9754" max="9754" width="9.140625" style="71" hidden="1"/>
    <col min="9755" max="9755" width="11.42578125" style="71" hidden="1"/>
    <col min="9756" max="9759" width="9.28515625" style="71" hidden="1"/>
    <col min="9760" max="9762" width="11.42578125" style="71" hidden="1"/>
    <col min="9763" max="9763" width="18.7109375" style="71" hidden="1"/>
    <col min="9764" max="9764" width="18.85546875" style="71" hidden="1"/>
    <col min="9765" max="9767" width="11.42578125" style="71" hidden="1"/>
    <col min="9768" max="9768" width="30.7109375" style="71" hidden="1"/>
    <col min="9769" max="9976" width="11.42578125" style="71" hidden="1"/>
    <col min="9977" max="9977" width="12.5703125" style="71" hidden="1"/>
    <col min="9978" max="9985" width="5.28515625" style="71" hidden="1"/>
    <col min="9986" max="9986" width="8" style="71" hidden="1"/>
    <col min="9987" max="9987" width="4" style="71" hidden="1"/>
    <col min="9988" max="9988" width="39.42578125" style="71" hidden="1"/>
    <col min="9989" max="10002" width="5.28515625" style="71" hidden="1"/>
    <col min="10003" max="10003" width="10.85546875" style="71" hidden="1"/>
    <col min="10004" max="10004" width="10.140625" style="71" hidden="1"/>
    <col min="10005" max="10005" width="10.5703125" style="71" hidden="1"/>
    <col min="10006" max="10006" width="9.5703125" style="71" hidden="1"/>
    <col min="10007" max="10007" width="5.42578125" style="71" hidden="1"/>
    <col min="10008" max="10008" width="9.28515625" style="71" hidden="1"/>
    <col min="10009" max="10009" width="8.28515625" style="71" hidden="1"/>
    <col min="10010" max="10010" width="9.140625" style="71" hidden="1"/>
    <col min="10011" max="10011" width="11.42578125" style="71" hidden="1"/>
    <col min="10012" max="10015" width="9.28515625" style="71" hidden="1"/>
    <col min="10016" max="10018" width="11.42578125" style="71" hidden="1"/>
    <col min="10019" max="10019" width="18.7109375" style="71" hidden="1"/>
    <col min="10020" max="10020" width="18.85546875" style="71" hidden="1"/>
    <col min="10021" max="10023" width="11.42578125" style="71" hidden="1"/>
    <col min="10024" max="10024" width="30.7109375" style="71" hidden="1"/>
    <col min="10025" max="10232" width="11.42578125" style="71" hidden="1"/>
    <col min="10233" max="10233" width="12.5703125" style="71" hidden="1"/>
    <col min="10234" max="10241" width="5.28515625" style="71" hidden="1"/>
    <col min="10242" max="10242" width="8" style="71" hidden="1"/>
    <col min="10243" max="10243" width="4" style="71" hidden="1"/>
    <col min="10244" max="10244" width="39.42578125" style="71" hidden="1"/>
    <col min="10245" max="10258" width="5.28515625" style="71" hidden="1"/>
    <col min="10259" max="10259" width="10.85546875" style="71" hidden="1"/>
    <col min="10260" max="10260" width="10.140625" style="71" hidden="1"/>
    <col min="10261" max="10261" width="10.5703125" style="71" hidden="1"/>
    <col min="10262" max="10262" width="9.5703125" style="71" hidden="1"/>
    <col min="10263" max="10263" width="5.42578125" style="71" hidden="1"/>
    <col min="10264" max="10264" width="9.28515625" style="71" hidden="1"/>
    <col min="10265" max="10265" width="8.28515625" style="71" hidden="1"/>
    <col min="10266" max="10266" width="9.140625" style="71" hidden="1"/>
    <col min="10267" max="10267" width="11.42578125" style="71" hidden="1"/>
    <col min="10268" max="10271" width="9.28515625" style="71" hidden="1"/>
    <col min="10272" max="10274" width="11.42578125" style="71" hidden="1"/>
    <col min="10275" max="10275" width="18.7109375" style="71" hidden="1"/>
    <col min="10276" max="10276" width="18.85546875" style="71" hidden="1"/>
    <col min="10277" max="10279" width="11.42578125" style="71" hidden="1"/>
    <col min="10280" max="10280" width="30.7109375" style="71" hidden="1"/>
    <col min="10281" max="10488" width="11.42578125" style="71" hidden="1"/>
    <col min="10489" max="10489" width="12.5703125" style="71" hidden="1"/>
    <col min="10490" max="10497" width="5.28515625" style="71" hidden="1"/>
    <col min="10498" max="10498" width="8" style="71" hidden="1"/>
    <col min="10499" max="10499" width="4" style="71" hidden="1"/>
    <col min="10500" max="10500" width="39.42578125" style="71" hidden="1"/>
    <col min="10501" max="10514" width="5.28515625" style="71" hidden="1"/>
    <col min="10515" max="10515" width="10.85546875" style="71" hidden="1"/>
    <col min="10516" max="10516" width="10.140625" style="71" hidden="1"/>
    <col min="10517" max="10517" width="10.5703125" style="71" hidden="1"/>
    <col min="10518" max="10518" width="9.5703125" style="71" hidden="1"/>
    <col min="10519" max="10519" width="5.42578125" style="71" hidden="1"/>
    <col min="10520" max="10520" width="9.28515625" style="71" hidden="1"/>
    <col min="10521" max="10521" width="8.28515625" style="71" hidden="1"/>
    <col min="10522" max="10522" width="9.140625" style="71" hidden="1"/>
    <col min="10523" max="10523" width="11.42578125" style="71" hidden="1"/>
    <col min="10524" max="10527" width="9.28515625" style="71" hidden="1"/>
    <col min="10528" max="10530" width="11.42578125" style="71" hidden="1"/>
    <col min="10531" max="10531" width="18.7109375" style="71" hidden="1"/>
    <col min="10532" max="10532" width="18.85546875" style="71" hidden="1"/>
    <col min="10533" max="10535" width="11.42578125" style="71" hidden="1"/>
    <col min="10536" max="10536" width="30.7109375" style="71" hidden="1"/>
    <col min="10537" max="10744" width="11.42578125" style="71" hidden="1"/>
    <col min="10745" max="10745" width="12.5703125" style="71" hidden="1"/>
    <col min="10746" max="10753" width="5.28515625" style="71" hidden="1"/>
    <col min="10754" max="10754" width="8" style="71" hidden="1"/>
    <col min="10755" max="10755" width="4" style="71" hidden="1"/>
    <col min="10756" max="10756" width="39.42578125" style="71" hidden="1"/>
    <col min="10757" max="10770" width="5.28515625" style="71" hidden="1"/>
    <col min="10771" max="10771" width="10.85546875" style="71" hidden="1"/>
    <col min="10772" max="10772" width="10.140625" style="71" hidden="1"/>
    <col min="10773" max="10773" width="10.5703125" style="71" hidden="1"/>
    <col min="10774" max="10774" width="9.5703125" style="71" hidden="1"/>
    <col min="10775" max="10775" width="5.42578125" style="71" hidden="1"/>
    <col min="10776" max="10776" width="9.28515625" style="71" hidden="1"/>
    <col min="10777" max="10777" width="8.28515625" style="71" hidden="1"/>
    <col min="10778" max="10778" width="9.140625" style="71" hidden="1"/>
    <col min="10779" max="10779" width="11.42578125" style="71" hidden="1"/>
    <col min="10780" max="10783" width="9.28515625" style="71" hidden="1"/>
    <col min="10784" max="10786" width="11.42578125" style="71" hidden="1"/>
    <col min="10787" max="10787" width="18.7109375" style="71" hidden="1"/>
    <col min="10788" max="10788" width="18.85546875" style="71" hidden="1"/>
    <col min="10789" max="10791" width="11.42578125" style="71" hidden="1"/>
    <col min="10792" max="10792" width="30.7109375" style="71" hidden="1"/>
    <col min="10793" max="11000" width="11.42578125" style="71" hidden="1"/>
    <col min="11001" max="11001" width="12.5703125" style="71" hidden="1"/>
    <col min="11002" max="11009" width="5.28515625" style="71" hidden="1"/>
    <col min="11010" max="11010" width="8" style="71" hidden="1"/>
    <col min="11011" max="11011" width="4" style="71" hidden="1"/>
    <col min="11012" max="11012" width="39.42578125" style="71" hidden="1"/>
    <col min="11013" max="11026" width="5.28515625" style="71" hidden="1"/>
    <col min="11027" max="11027" width="10.85546875" style="71" hidden="1"/>
    <col min="11028" max="11028" width="10.140625" style="71" hidden="1"/>
    <col min="11029" max="11029" width="10.5703125" style="71" hidden="1"/>
    <col min="11030" max="11030" width="9.5703125" style="71" hidden="1"/>
    <col min="11031" max="11031" width="5.42578125" style="71" hidden="1"/>
    <col min="11032" max="11032" width="9.28515625" style="71" hidden="1"/>
    <col min="11033" max="11033" width="8.28515625" style="71" hidden="1"/>
    <col min="11034" max="11034" width="9.140625" style="71" hidden="1"/>
    <col min="11035" max="11035" width="11.42578125" style="71" hidden="1"/>
    <col min="11036" max="11039" width="9.28515625" style="71" hidden="1"/>
    <col min="11040" max="11042" width="11.42578125" style="71" hidden="1"/>
    <col min="11043" max="11043" width="18.7109375" style="71" hidden="1"/>
    <col min="11044" max="11044" width="18.85546875" style="71" hidden="1"/>
    <col min="11045" max="11047" width="11.42578125" style="71" hidden="1"/>
    <col min="11048" max="11048" width="30.7109375" style="71" hidden="1"/>
    <col min="11049" max="11256" width="11.42578125" style="71" hidden="1"/>
    <col min="11257" max="11257" width="12.5703125" style="71" hidden="1"/>
    <col min="11258" max="11265" width="5.28515625" style="71" hidden="1"/>
    <col min="11266" max="11266" width="8" style="71" hidden="1"/>
    <col min="11267" max="11267" width="4" style="71" hidden="1"/>
    <col min="11268" max="11268" width="39.42578125" style="71" hidden="1"/>
    <col min="11269" max="11282" width="5.28515625" style="71" hidden="1"/>
    <col min="11283" max="11283" width="10.85546875" style="71" hidden="1"/>
    <col min="11284" max="11284" width="10.140625" style="71" hidden="1"/>
    <col min="11285" max="11285" width="10.5703125" style="71" hidden="1"/>
    <col min="11286" max="11286" width="9.5703125" style="71" hidden="1"/>
    <col min="11287" max="11287" width="5.42578125" style="71" hidden="1"/>
    <col min="11288" max="11288" width="9.28515625" style="71" hidden="1"/>
    <col min="11289" max="11289" width="8.28515625" style="71" hidden="1"/>
    <col min="11290" max="11290" width="9.140625" style="71" hidden="1"/>
    <col min="11291" max="11291" width="11.42578125" style="71" hidden="1"/>
    <col min="11292" max="11295" width="9.28515625" style="71" hidden="1"/>
    <col min="11296" max="11298" width="11.42578125" style="71" hidden="1"/>
    <col min="11299" max="11299" width="18.7109375" style="71" hidden="1"/>
    <col min="11300" max="11300" width="18.85546875" style="71" hidden="1"/>
    <col min="11301" max="11303" width="11.42578125" style="71" hidden="1"/>
    <col min="11304" max="11304" width="30.7109375" style="71" hidden="1"/>
    <col min="11305" max="11512" width="11.42578125" style="71" hidden="1"/>
    <col min="11513" max="11513" width="12.5703125" style="71" hidden="1"/>
    <col min="11514" max="11521" width="5.28515625" style="71" hidden="1"/>
    <col min="11522" max="11522" width="8" style="71" hidden="1"/>
    <col min="11523" max="11523" width="4" style="71" hidden="1"/>
    <col min="11524" max="11524" width="39.42578125" style="71" hidden="1"/>
    <col min="11525" max="11538" width="5.28515625" style="71" hidden="1"/>
    <col min="11539" max="11539" width="10.85546875" style="71" hidden="1"/>
    <col min="11540" max="11540" width="10.140625" style="71" hidden="1"/>
    <col min="11541" max="11541" width="10.5703125" style="71" hidden="1"/>
    <col min="11542" max="11542" width="9.5703125" style="71" hidden="1"/>
    <col min="11543" max="11543" width="5.42578125" style="71" hidden="1"/>
    <col min="11544" max="11544" width="9.28515625" style="71" hidden="1"/>
    <col min="11545" max="11545" width="8.28515625" style="71" hidden="1"/>
    <col min="11546" max="11546" width="9.140625" style="71" hidden="1"/>
    <col min="11547" max="11547" width="11.42578125" style="71" hidden="1"/>
    <col min="11548" max="11551" width="9.28515625" style="71" hidden="1"/>
    <col min="11552" max="11554" width="11.42578125" style="71" hidden="1"/>
    <col min="11555" max="11555" width="18.7109375" style="71" hidden="1"/>
    <col min="11556" max="11556" width="18.85546875" style="71" hidden="1"/>
    <col min="11557" max="11559" width="11.42578125" style="71" hidden="1"/>
    <col min="11560" max="11560" width="30.7109375" style="71" hidden="1"/>
    <col min="11561" max="11768" width="11.42578125" style="71" hidden="1"/>
    <col min="11769" max="11769" width="12.5703125" style="71" hidden="1"/>
    <col min="11770" max="11777" width="5.28515625" style="71" hidden="1"/>
    <col min="11778" max="11778" width="8" style="71" hidden="1"/>
    <col min="11779" max="11779" width="4" style="71" hidden="1"/>
    <col min="11780" max="11780" width="39.42578125" style="71" hidden="1"/>
    <col min="11781" max="11794" width="5.28515625" style="71" hidden="1"/>
    <col min="11795" max="11795" width="10.85546875" style="71" hidden="1"/>
    <col min="11796" max="11796" width="10.140625" style="71" hidden="1"/>
    <col min="11797" max="11797" width="10.5703125" style="71" hidden="1"/>
    <col min="11798" max="11798" width="9.5703125" style="71" hidden="1"/>
    <col min="11799" max="11799" width="5.42578125" style="71" hidden="1"/>
    <col min="11800" max="11800" width="9.28515625" style="71" hidden="1"/>
    <col min="11801" max="11801" width="8.28515625" style="71" hidden="1"/>
    <col min="11802" max="11802" width="9.140625" style="71" hidden="1"/>
    <col min="11803" max="11803" width="11.42578125" style="71" hidden="1"/>
    <col min="11804" max="11807" width="9.28515625" style="71" hidden="1"/>
    <col min="11808" max="11810" width="11.42578125" style="71" hidden="1"/>
    <col min="11811" max="11811" width="18.7109375" style="71" hidden="1"/>
    <col min="11812" max="11812" width="18.85546875" style="71" hidden="1"/>
    <col min="11813" max="11815" width="11.42578125" style="71" hidden="1"/>
    <col min="11816" max="11816" width="30.7109375" style="71" hidden="1"/>
    <col min="11817" max="12024" width="11.42578125" style="71" hidden="1"/>
    <col min="12025" max="12025" width="12.5703125" style="71" hidden="1"/>
    <col min="12026" max="12033" width="5.28515625" style="71" hidden="1"/>
    <col min="12034" max="12034" width="8" style="71" hidden="1"/>
    <col min="12035" max="12035" width="4" style="71" hidden="1"/>
    <col min="12036" max="12036" width="39.42578125" style="71" hidden="1"/>
    <col min="12037" max="12050" width="5.28515625" style="71" hidden="1"/>
    <col min="12051" max="12051" width="10.85546875" style="71" hidden="1"/>
    <col min="12052" max="12052" width="10.140625" style="71" hidden="1"/>
    <col min="12053" max="12053" width="10.5703125" style="71" hidden="1"/>
    <col min="12054" max="12054" width="9.5703125" style="71" hidden="1"/>
    <col min="12055" max="12055" width="5.42578125" style="71" hidden="1"/>
    <col min="12056" max="12056" width="9.28515625" style="71" hidden="1"/>
    <col min="12057" max="12057" width="8.28515625" style="71" hidden="1"/>
    <col min="12058" max="12058" width="9.140625" style="71" hidden="1"/>
    <col min="12059" max="12059" width="11.42578125" style="71" hidden="1"/>
    <col min="12060" max="12063" width="9.28515625" style="71" hidden="1"/>
    <col min="12064" max="12066" width="11.42578125" style="71" hidden="1"/>
    <col min="12067" max="12067" width="18.7109375" style="71" hidden="1"/>
    <col min="12068" max="12068" width="18.85546875" style="71" hidden="1"/>
    <col min="12069" max="12071" width="11.42578125" style="71" hidden="1"/>
    <col min="12072" max="12072" width="30.7109375" style="71" hidden="1"/>
    <col min="12073" max="12280" width="11.42578125" style="71" hidden="1"/>
    <col min="12281" max="12281" width="12.5703125" style="71" hidden="1"/>
    <col min="12282" max="12289" width="5.28515625" style="71" hidden="1"/>
    <col min="12290" max="12290" width="8" style="71" hidden="1"/>
    <col min="12291" max="12291" width="4" style="71" hidden="1"/>
    <col min="12292" max="12292" width="39.42578125" style="71" hidden="1"/>
    <col min="12293" max="12306" width="5.28515625" style="71" hidden="1"/>
    <col min="12307" max="12307" width="10.85546875" style="71" hidden="1"/>
    <col min="12308" max="12308" width="10.140625" style="71" hidden="1"/>
    <col min="12309" max="12309" width="10.5703125" style="71" hidden="1"/>
    <col min="12310" max="12310" width="9.5703125" style="71" hidden="1"/>
    <col min="12311" max="12311" width="5.42578125" style="71" hidden="1"/>
    <col min="12312" max="12312" width="9.28515625" style="71" hidden="1"/>
    <col min="12313" max="12313" width="8.28515625" style="71" hidden="1"/>
    <col min="12314" max="12314" width="9.140625" style="71" hidden="1"/>
    <col min="12315" max="12315" width="11.42578125" style="71" hidden="1"/>
    <col min="12316" max="12319" width="9.28515625" style="71" hidden="1"/>
    <col min="12320" max="12322" width="11.42578125" style="71" hidden="1"/>
    <col min="12323" max="12323" width="18.7109375" style="71" hidden="1"/>
    <col min="12324" max="12324" width="18.85546875" style="71" hidden="1"/>
    <col min="12325" max="12327" width="11.42578125" style="71" hidden="1"/>
    <col min="12328" max="12328" width="30.7109375" style="71" hidden="1"/>
    <col min="12329" max="12536" width="11.42578125" style="71" hidden="1"/>
    <col min="12537" max="12537" width="12.5703125" style="71" hidden="1"/>
    <col min="12538" max="12545" width="5.28515625" style="71" hidden="1"/>
    <col min="12546" max="12546" width="8" style="71" hidden="1"/>
    <col min="12547" max="12547" width="4" style="71" hidden="1"/>
    <col min="12548" max="12548" width="39.42578125" style="71" hidden="1"/>
    <col min="12549" max="12562" width="5.28515625" style="71" hidden="1"/>
    <col min="12563" max="12563" width="10.85546875" style="71" hidden="1"/>
    <col min="12564" max="12564" width="10.140625" style="71" hidden="1"/>
    <col min="12565" max="12565" width="10.5703125" style="71" hidden="1"/>
    <col min="12566" max="12566" width="9.5703125" style="71" hidden="1"/>
    <col min="12567" max="12567" width="5.42578125" style="71" hidden="1"/>
    <col min="12568" max="12568" width="9.28515625" style="71" hidden="1"/>
    <col min="12569" max="12569" width="8.28515625" style="71" hidden="1"/>
    <col min="12570" max="12570" width="9.140625" style="71" hidden="1"/>
    <col min="12571" max="12571" width="11.42578125" style="71" hidden="1"/>
    <col min="12572" max="12575" width="9.28515625" style="71" hidden="1"/>
    <col min="12576" max="12578" width="11.42578125" style="71" hidden="1"/>
    <col min="12579" max="12579" width="18.7109375" style="71" hidden="1"/>
    <col min="12580" max="12580" width="18.85546875" style="71" hidden="1"/>
    <col min="12581" max="12583" width="11.42578125" style="71" hidden="1"/>
    <col min="12584" max="12584" width="30.7109375" style="71" hidden="1"/>
    <col min="12585" max="12792" width="11.42578125" style="71" hidden="1"/>
    <col min="12793" max="12793" width="12.5703125" style="71" hidden="1"/>
    <col min="12794" max="12801" width="5.28515625" style="71" hidden="1"/>
    <col min="12802" max="12802" width="8" style="71" hidden="1"/>
    <col min="12803" max="12803" width="4" style="71" hidden="1"/>
    <col min="12804" max="12804" width="39.42578125" style="71" hidden="1"/>
    <col min="12805" max="12818" width="5.28515625" style="71" hidden="1"/>
    <col min="12819" max="12819" width="10.85546875" style="71" hidden="1"/>
    <col min="12820" max="12820" width="10.140625" style="71" hidden="1"/>
    <col min="12821" max="12821" width="10.5703125" style="71" hidden="1"/>
    <col min="12822" max="12822" width="9.5703125" style="71" hidden="1"/>
    <col min="12823" max="12823" width="5.42578125" style="71" hidden="1"/>
    <col min="12824" max="12824" width="9.28515625" style="71" hidden="1"/>
    <col min="12825" max="12825" width="8.28515625" style="71" hidden="1"/>
    <col min="12826" max="12826" width="9.140625" style="71" hidden="1"/>
    <col min="12827" max="12827" width="11.42578125" style="71" hidden="1"/>
    <col min="12828" max="12831" width="9.28515625" style="71" hidden="1"/>
    <col min="12832" max="12834" width="11.42578125" style="71" hidden="1"/>
    <col min="12835" max="12835" width="18.7109375" style="71" hidden="1"/>
    <col min="12836" max="12836" width="18.85546875" style="71" hidden="1"/>
    <col min="12837" max="12839" width="11.42578125" style="71" hidden="1"/>
    <col min="12840" max="12840" width="30.7109375" style="71" hidden="1"/>
    <col min="12841" max="13048" width="11.42578125" style="71" hidden="1"/>
    <col min="13049" max="13049" width="12.5703125" style="71" hidden="1"/>
    <col min="13050" max="13057" width="5.28515625" style="71" hidden="1"/>
    <col min="13058" max="13058" width="8" style="71" hidden="1"/>
    <col min="13059" max="13059" width="4" style="71" hidden="1"/>
    <col min="13060" max="13060" width="39.42578125" style="71" hidden="1"/>
    <col min="13061" max="13074" width="5.28515625" style="71" hidden="1"/>
    <col min="13075" max="13075" width="10.85546875" style="71" hidden="1"/>
    <col min="13076" max="13076" width="10.140625" style="71" hidden="1"/>
    <col min="13077" max="13077" width="10.5703125" style="71" hidden="1"/>
    <col min="13078" max="13078" width="9.5703125" style="71" hidden="1"/>
    <col min="13079" max="13079" width="5.42578125" style="71" hidden="1"/>
    <col min="13080" max="13080" width="9.28515625" style="71" hidden="1"/>
    <col min="13081" max="13081" width="8.28515625" style="71" hidden="1"/>
    <col min="13082" max="13082" width="9.140625" style="71" hidden="1"/>
    <col min="13083" max="13083" width="11.42578125" style="71" hidden="1"/>
    <col min="13084" max="13087" width="9.28515625" style="71" hidden="1"/>
    <col min="13088" max="13090" width="11.42578125" style="71" hidden="1"/>
    <col min="13091" max="13091" width="18.7109375" style="71" hidden="1"/>
    <col min="13092" max="13092" width="18.85546875" style="71" hidden="1"/>
    <col min="13093" max="13095" width="11.42578125" style="71" hidden="1"/>
    <col min="13096" max="13096" width="30.7109375" style="71" hidden="1"/>
    <col min="13097" max="13304" width="11.42578125" style="71" hidden="1"/>
    <col min="13305" max="13305" width="12.5703125" style="71" hidden="1"/>
    <col min="13306" max="13313" width="5.28515625" style="71" hidden="1"/>
    <col min="13314" max="13314" width="8" style="71" hidden="1"/>
    <col min="13315" max="13315" width="4" style="71" hidden="1"/>
    <col min="13316" max="13316" width="39.42578125" style="71" hidden="1"/>
    <col min="13317" max="13330" width="5.28515625" style="71" hidden="1"/>
    <col min="13331" max="13331" width="10.85546875" style="71" hidden="1"/>
    <col min="13332" max="13332" width="10.140625" style="71" hidden="1"/>
    <col min="13333" max="13333" width="10.5703125" style="71" hidden="1"/>
    <col min="13334" max="13334" width="9.5703125" style="71" hidden="1"/>
    <col min="13335" max="13335" width="5.42578125" style="71" hidden="1"/>
    <col min="13336" max="13336" width="9.28515625" style="71" hidden="1"/>
    <col min="13337" max="13337" width="8.28515625" style="71" hidden="1"/>
    <col min="13338" max="13338" width="9.140625" style="71" hidden="1"/>
    <col min="13339" max="13339" width="11.42578125" style="71" hidden="1"/>
    <col min="13340" max="13343" width="9.28515625" style="71" hidden="1"/>
    <col min="13344" max="13346" width="11.42578125" style="71" hidden="1"/>
    <col min="13347" max="13347" width="18.7109375" style="71" hidden="1"/>
    <col min="13348" max="13348" width="18.85546875" style="71" hidden="1"/>
    <col min="13349" max="13351" width="11.42578125" style="71" hidden="1"/>
    <col min="13352" max="13352" width="30.7109375" style="71" hidden="1"/>
    <col min="13353" max="13560" width="11.42578125" style="71" hidden="1"/>
    <col min="13561" max="13561" width="12.5703125" style="71" hidden="1"/>
    <col min="13562" max="13569" width="5.28515625" style="71" hidden="1"/>
    <col min="13570" max="13570" width="8" style="71" hidden="1"/>
    <col min="13571" max="13571" width="4" style="71" hidden="1"/>
    <col min="13572" max="13572" width="39.42578125" style="71" hidden="1"/>
    <col min="13573" max="13586" width="5.28515625" style="71" hidden="1"/>
    <col min="13587" max="13587" width="10.85546875" style="71" hidden="1"/>
    <col min="13588" max="13588" width="10.140625" style="71" hidden="1"/>
    <col min="13589" max="13589" width="10.5703125" style="71" hidden="1"/>
    <col min="13590" max="13590" width="9.5703125" style="71" hidden="1"/>
    <col min="13591" max="13591" width="5.42578125" style="71" hidden="1"/>
    <col min="13592" max="13592" width="9.28515625" style="71" hidden="1"/>
    <col min="13593" max="13593" width="8.28515625" style="71" hidden="1"/>
    <col min="13594" max="13594" width="9.140625" style="71" hidden="1"/>
    <col min="13595" max="13595" width="11.42578125" style="71" hidden="1"/>
    <col min="13596" max="13599" width="9.28515625" style="71" hidden="1"/>
    <col min="13600" max="13602" width="11.42578125" style="71" hidden="1"/>
    <col min="13603" max="13603" width="18.7109375" style="71" hidden="1"/>
    <col min="13604" max="13604" width="18.85546875" style="71" hidden="1"/>
    <col min="13605" max="13607" width="11.42578125" style="71" hidden="1"/>
    <col min="13608" max="13608" width="30.7109375" style="71" hidden="1"/>
    <col min="13609" max="13816" width="11.42578125" style="71" hidden="1"/>
    <col min="13817" max="13817" width="12.5703125" style="71" hidden="1"/>
    <col min="13818" max="13825" width="5.28515625" style="71" hidden="1"/>
    <col min="13826" max="13826" width="8" style="71" hidden="1"/>
    <col min="13827" max="13827" width="4" style="71" hidden="1"/>
    <col min="13828" max="13828" width="39.42578125" style="71" hidden="1"/>
    <col min="13829" max="13842" width="5.28515625" style="71" hidden="1"/>
    <col min="13843" max="13843" width="10.85546875" style="71" hidden="1"/>
    <col min="13844" max="13844" width="10.140625" style="71" hidden="1"/>
    <col min="13845" max="13845" width="10.5703125" style="71" hidden="1"/>
    <col min="13846" max="13846" width="9.5703125" style="71" hidden="1"/>
    <col min="13847" max="13847" width="5.42578125" style="71" hidden="1"/>
    <col min="13848" max="13848" width="9.28515625" style="71" hidden="1"/>
    <col min="13849" max="13849" width="8.28515625" style="71" hidden="1"/>
    <col min="13850" max="13850" width="9.140625" style="71" hidden="1"/>
    <col min="13851" max="13851" width="11.42578125" style="71" hidden="1"/>
    <col min="13852" max="13855" width="9.28515625" style="71" hidden="1"/>
    <col min="13856" max="13858" width="11.42578125" style="71" hidden="1"/>
    <col min="13859" max="13859" width="18.7109375" style="71" hidden="1"/>
    <col min="13860" max="13860" width="18.85546875" style="71" hidden="1"/>
    <col min="13861" max="13863" width="11.42578125" style="71" hidden="1"/>
    <col min="13864" max="13864" width="30.7109375" style="71" hidden="1"/>
    <col min="13865" max="14072" width="11.42578125" style="71" hidden="1"/>
    <col min="14073" max="14073" width="12.5703125" style="71" hidden="1"/>
    <col min="14074" max="14081" width="5.28515625" style="71" hidden="1"/>
    <col min="14082" max="14082" width="8" style="71" hidden="1"/>
    <col min="14083" max="14083" width="4" style="71" hidden="1"/>
    <col min="14084" max="14084" width="39.42578125" style="71" hidden="1"/>
    <col min="14085" max="14098" width="5.28515625" style="71" hidden="1"/>
    <col min="14099" max="14099" width="10.85546875" style="71" hidden="1"/>
    <col min="14100" max="14100" width="10.140625" style="71" hidden="1"/>
    <col min="14101" max="14101" width="10.5703125" style="71" hidden="1"/>
    <col min="14102" max="14102" width="9.5703125" style="71" hidden="1"/>
    <col min="14103" max="14103" width="5.42578125" style="71" hidden="1"/>
    <col min="14104" max="14104" width="9.28515625" style="71" hidden="1"/>
    <col min="14105" max="14105" width="8.28515625" style="71" hidden="1"/>
    <col min="14106" max="14106" width="9.140625" style="71" hidden="1"/>
    <col min="14107" max="14107" width="11.42578125" style="71" hidden="1"/>
    <col min="14108" max="14111" width="9.28515625" style="71" hidden="1"/>
    <col min="14112" max="14114" width="11.42578125" style="71" hidden="1"/>
    <col min="14115" max="14115" width="18.7109375" style="71" hidden="1"/>
    <col min="14116" max="14116" width="18.85546875" style="71" hidden="1"/>
    <col min="14117" max="14119" width="11.42578125" style="71" hidden="1"/>
    <col min="14120" max="14120" width="30.7109375" style="71" hidden="1"/>
    <col min="14121" max="14328" width="11.42578125" style="71" hidden="1"/>
    <col min="14329" max="14329" width="12.5703125" style="71" hidden="1"/>
    <col min="14330" max="14337" width="5.28515625" style="71" hidden="1"/>
    <col min="14338" max="14338" width="8" style="71" hidden="1"/>
    <col min="14339" max="14339" width="4" style="71" hidden="1"/>
    <col min="14340" max="14340" width="39.42578125" style="71" hidden="1"/>
    <col min="14341" max="14354" width="5.28515625" style="71" hidden="1"/>
    <col min="14355" max="14355" width="10.85546875" style="71" hidden="1"/>
    <col min="14356" max="14356" width="10.140625" style="71" hidden="1"/>
    <col min="14357" max="14357" width="10.5703125" style="71" hidden="1"/>
    <col min="14358" max="14358" width="9.5703125" style="71" hidden="1"/>
    <col min="14359" max="14359" width="5.42578125" style="71" hidden="1"/>
    <col min="14360" max="14360" width="9.28515625" style="71" hidden="1"/>
    <col min="14361" max="14361" width="8.28515625" style="71" hidden="1"/>
    <col min="14362" max="14362" width="9.140625" style="71" hidden="1"/>
    <col min="14363" max="14363" width="11.42578125" style="71" hidden="1"/>
    <col min="14364" max="14367" width="9.28515625" style="71" hidden="1"/>
    <col min="14368" max="14370" width="11.42578125" style="71" hidden="1"/>
    <col min="14371" max="14371" width="18.7109375" style="71" hidden="1"/>
    <col min="14372" max="14372" width="18.85546875" style="71" hidden="1"/>
    <col min="14373" max="14375" width="11.42578125" style="71" hidden="1"/>
    <col min="14376" max="14376" width="30.7109375" style="71" hidden="1"/>
    <col min="14377" max="14584" width="11.42578125" style="71" hidden="1"/>
    <col min="14585" max="14585" width="12.5703125" style="71" hidden="1"/>
    <col min="14586" max="14593" width="5.28515625" style="71" hidden="1"/>
    <col min="14594" max="14594" width="8" style="71" hidden="1"/>
    <col min="14595" max="14595" width="4" style="71" hidden="1"/>
    <col min="14596" max="14596" width="39.42578125" style="71" hidden="1"/>
    <col min="14597" max="14610" width="5.28515625" style="71" hidden="1"/>
    <col min="14611" max="14611" width="10.85546875" style="71" hidden="1"/>
    <col min="14612" max="14612" width="10.140625" style="71" hidden="1"/>
    <col min="14613" max="14613" width="10.5703125" style="71" hidden="1"/>
    <col min="14614" max="14614" width="9.5703125" style="71" hidden="1"/>
    <col min="14615" max="14615" width="5.42578125" style="71" hidden="1"/>
    <col min="14616" max="14616" width="9.28515625" style="71" hidden="1"/>
    <col min="14617" max="14617" width="8.28515625" style="71" hidden="1"/>
    <col min="14618" max="14618" width="9.140625" style="71" hidden="1"/>
    <col min="14619" max="14619" width="11.42578125" style="71" hidden="1"/>
    <col min="14620" max="14623" width="9.28515625" style="71" hidden="1"/>
    <col min="14624" max="14626" width="11.42578125" style="71" hidden="1"/>
    <col min="14627" max="14627" width="18.7109375" style="71" hidden="1"/>
    <col min="14628" max="14628" width="18.85546875" style="71" hidden="1"/>
    <col min="14629" max="14631" width="11.42578125" style="71" hidden="1"/>
    <col min="14632" max="14632" width="30.7109375" style="71" hidden="1"/>
    <col min="14633" max="14840" width="11.42578125" style="71" hidden="1"/>
    <col min="14841" max="14841" width="12.5703125" style="71" hidden="1"/>
    <col min="14842" max="14849" width="5.28515625" style="71" hidden="1"/>
    <col min="14850" max="14850" width="8" style="71" hidden="1"/>
    <col min="14851" max="14851" width="4" style="71" hidden="1"/>
    <col min="14852" max="14852" width="39.42578125" style="71" hidden="1"/>
    <col min="14853" max="14866" width="5.28515625" style="71" hidden="1"/>
    <col min="14867" max="14867" width="10.85546875" style="71" hidden="1"/>
    <col min="14868" max="14868" width="10.140625" style="71" hidden="1"/>
    <col min="14869" max="14869" width="10.5703125" style="71" hidden="1"/>
    <col min="14870" max="14870" width="9.5703125" style="71" hidden="1"/>
    <col min="14871" max="14871" width="5.42578125" style="71" hidden="1"/>
    <col min="14872" max="14872" width="9.28515625" style="71" hidden="1"/>
    <col min="14873" max="14873" width="8.28515625" style="71" hidden="1"/>
    <col min="14874" max="14874" width="9.140625" style="71" hidden="1"/>
    <col min="14875" max="14875" width="11.42578125" style="71" hidden="1"/>
    <col min="14876" max="14879" width="9.28515625" style="71" hidden="1"/>
    <col min="14880" max="14882" width="11.42578125" style="71" hidden="1"/>
    <col min="14883" max="14883" width="18.7109375" style="71" hidden="1"/>
    <col min="14884" max="14884" width="18.85546875" style="71" hidden="1"/>
    <col min="14885" max="14887" width="11.42578125" style="71" hidden="1"/>
    <col min="14888" max="14888" width="30.7109375" style="71" hidden="1"/>
    <col min="14889" max="15096" width="11.42578125" style="71" hidden="1"/>
    <col min="15097" max="15097" width="12.5703125" style="71" hidden="1"/>
    <col min="15098" max="15105" width="5.28515625" style="71" hidden="1"/>
    <col min="15106" max="15106" width="8" style="71" hidden="1"/>
    <col min="15107" max="15107" width="4" style="71" hidden="1"/>
    <col min="15108" max="15108" width="39.42578125" style="71" hidden="1"/>
    <col min="15109" max="15122" width="5.28515625" style="71" hidden="1"/>
    <col min="15123" max="15123" width="10.85546875" style="71" hidden="1"/>
    <col min="15124" max="15124" width="10.140625" style="71" hidden="1"/>
    <col min="15125" max="15125" width="10.5703125" style="71" hidden="1"/>
    <col min="15126" max="15126" width="9.5703125" style="71" hidden="1"/>
    <col min="15127" max="15127" width="5.42578125" style="71" hidden="1"/>
    <col min="15128" max="15128" width="9.28515625" style="71" hidden="1"/>
    <col min="15129" max="15129" width="8.28515625" style="71" hidden="1"/>
    <col min="15130" max="15130" width="9.140625" style="71" hidden="1"/>
    <col min="15131" max="15131" width="11.42578125" style="71" hidden="1"/>
    <col min="15132" max="15135" width="9.28515625" style="71" hidden="1"/>
    <col min="15136" max="15138" width="11.42578125" style="71" hidden="1"/>
    <col min="15139" max="15139" width="18.7109375" style="71" hidden="1"/>
    <col min="15140" max="15140" width="18.85546875" style="71" hidden="1"/>
    <col min="15141" max="15143" width="11.42578125" style="71" hidden="1"/>
    <col min="15144" max="15144" width="30.7109375" style="71" hidden="1"/>
    <col min="15145" max="15352" width="11.42578125" style="71" hidden="1"/>
    <col min="15353" max="15353" width="12.5703125" style="71" hidden="1"/>
    <col min="15354" max="15361" width="5.28515625" style="71" hidden="1"/>
    <col min="15362" max="15362" width="8" style="71" hidden="1"/>
    <col min="15363" max="15363" width="4" style="71" hidden="1"/>
    <col min="15364" max="15364" width="39.42578125" style="71" hidden="1"/>
    <col min="15365" max="15378" width="5.28515625" style="71" hidden="1"/>
    <col min="15379" max="15379" width="10.85546875" style="71" hidden="1"/>
    <col min="15380" max="15380" width="10.140625" style="71" hidden="1"/>
    <col min="15381" max="15381" width="10.5703125" style="71" hidden="1"/>
    <col min="15382" max="15382" width="9.5703125" style="71" hidden="1"/>
    <col min="15383" max="15383" width="5.42578125" style="71" hidden="1"/>
    <col min="15384" max="15384" width="9.28515625" style="71" hidden="1"/>
    <col min="15385" max="15385" width="8.28515625" style="71" hidden="1"/>
    <col min="15386" max="15386" width="9.140625" style="71" hidden="1"/>
    <col min="15387" max="15387" width="11.42578125" style="71" hidden="1"/>
    <col min="15388" max="15391" width="9.28515625" style="71" hidden="1"/>
    <col min="15392" max="15394" width="11.42578125" style="71" hidden="1"/>
    <col min="15395" max="15395" width="18.7109375" style="71" hidden="1"/>
    <col min="15396" max="15396" width="18.85546875" style="71" hidden="1"/>
    <col min="15397" max="15399" width="11.42578125" style="71" hidden="1"/>
    <col min="15400" max="15400" width="30.7109375" style="71" hidden="1"/>
    <col min="15401" max="15608" width="11.42578125" style="71" hidden="1"/>
    <col min="15609" max="15609" width="12.5703125" style="71" hidden="1"/>
    <col min="15610" max="15617" width="5.28515625" style="71" hidden="1"/>
    <col min="15618" max="15618" width="8" style="71" hidden="1"/>
    <col min="15619" max="15619" width="4" style="71" hidden="1"/>
    <col min="15620" max="15620" width="39.42578125" style="71" hidden="1"/>
    <col min="15621" max="15634" width="5.28515625" style="71" hidden="1"/>
    <col min="15635" max="15635" width="10.85546875" style="71" hidden="1"/>
    <col min="15636" max="15636" width="10.140625" style="71" hidden="1"/>
    <col min="15637" max="15637" width="10.5703125" style="71" hidden="1"/>
    <col min="15638" max="15638" width="9.5703125" style="71" hidden="1"/>
    <col min="15639" max="15639" width="5.42578125" style="71" hidden="1"/>
    <col min="15640" max="15640" width="9.28515625" style="71" hidden="1"/>
    <col min="15641" max="15641" width="8.28515625" style="71" hidden="1"/>
    <col min="15642" max="15642" width="9.140625" style="71" hidden="1"/>
    <col min="15643" max="15643" width="11.42578125" style="71" hidden="1"/>
    <col min="15644" max="15647" width="9.28515625" style="71" hidden="1"/>
    <col min="15648" max="15650" width="11.42578125" style="71" hidden="1"/>
    <col min="15651" max="15651" width="18.7109375" style="71" hidden="1"/>
    <col min="15652" max="15652" width="18.85546875" style="71" hidden="1"/>
    <col min="15653" max="15655" width="11.42578125" style="71" hidden="1"/>
    <col min="15656" max="15656" width="30.7109375" style="71" hidden="1"/>
    <col min="15657" max="15864" width="11.42578125" style="71" hidden="1"/>
    <col min="15865" max="15865" width="12.5703125" style="71" hidden="1"/>
    <col min="15866" max="15873" width="5.28515625" style="71" hidden="1"/>
    <col min="15874" max="15874" width="8" style="71" hidden="1"/>
    <col min="15875" max="15875" width="4" style="71" hidden="1"/>
    <col min="15876" max="15876" width="39.42578125" style="71" hidden="1"/>
    <col min="15877" max="15890" width="5.28515625" style="71" hidden="1"/>
    <col min="15891" max="15891" width="10.85546875" style="71" hidden="1"/>
    <col min="15892" max="15892" width="10.140625" style="71" hidden="1"/>
    <col min="15893" max="15893" width="10.5703125" style="71" hidden="1"/>
    <col min="15894" max="15894" width="9.5703125" style="71" hidden="1"/>
    <col min="15895" max="15895" width="5.42578125" style="71" hidden="1"/>
    <col min="15896" max="15896" width="9.28515625" style="71" hidden="1"/>
    <col min="15897" max="15897" width="8.28515625" style="71" hidden="1"/>
    <col min="15898" max="15898" width="9.140625" style="71" hidden="1"/>
    <col min="15899" max="15899" width="11.42578125" style="71" hidden="1"/>
    <col min="15900" max="15903" width="9.28515625" style="71" hidden="1"/>
    <col min="15904" max="15906" width="11.42578125" style="71" hidden="1"/>
    <col min="15907" max="15907" width="18.7109375" style="71" hidden="1"/>
    <col min="15908" max="15908" width="18.85546875" style="71" hidden="1"/>
    <col min="15909" max="15911" width="11.42578125" style="71" hidden="1"/>
    <col min="15912" max="15912" width="30.7109375" style="71" hidden="1"/>
    <col min="15913" max="16120" width="11.42578125" style="71" hidden="1"/>
    <col min="16121" max="16121" width="12.5703125" style="71" hidden="1"/>
    <col min="16122" max="16129" width="5.28515625" style="71" hidden="1"/>
    <col min="16130" max="16130" width="8" style="71" hidden="1"/>
    <col min="16131" max="16131" width="4" style="71" hidden="1"/>
    <col min="16132" max="16132" width="39.42578125" style="71" hidden="1"/>
    <col min="16133" max="16146" width="5.28515625" style="71" hidden="1"/>
    <col min="16147" max="16147" width="10.85546875" style="71" hidden="1"/>
    <col min="16148" max="16148" width="10.140625" style="71" hidden="1"/>
    <col min="16149" max="16149" width="10.5703125" style="71" hidden="1"/>
    <col min="16150" max="16150" width="9.5703125" style="71" hidden="1"/>
    <col min="16151" max="16151" width="5.42578125" style="71" hidden="1"/>
    <col min="16152" max="16152" width="9.28515625" style="71" hidden="1"/>
    <col min="16153" max="16153" width="8.28515625" style="71" hidden="1"/>
    <col min="16154" max="16154" width="9.140625" style="71" hidden="1"/>
    <col min="16155" max="16155" width="11.42578125" style="71" hidden="1"/>
    <col min="16156" max="16159" width="9.28515625" style="71" hidden="1"/>
    <col min="16160" max="16162" width="11.42578125" style="71" hidden="1"/>
    <col min="16163" max="16163" width="18.7109375" style="71" hidden="1"/>
    <col min="16164" max="16164" width="18.85546875" style="71" hidden="1"/>
    <col min="16165" max="16167" width="11.42578125" style="71" hidden="1"/>
    <col min="16168" max="16168" width="30.7109375" style="71" hidden="1"/>
    <col min="16169" max="16384" width="11.42578125" style="71" hidden="1"/>
  </cols>
  <sheetData>
    <row r="1" spans="1:37" ht="15" x14ac:dyDescent="0.25">
      <c r="A1" s="99" t="s">
        <v>189</v>
      </c>
      <c r="B1" s="143" t="s">
        <v>289</v>
      </c>
      <c r="C1" s="97" t="s">
        <v>175</v>
      </c>
      <c r="D1" s="188" t="s">
        <v>296</v>
      </c>
      <c r="E1" s="207" t="s">
        <v>283</v>
      </c>
      <c r="F1" s="207"/>
      <c r="G1" s="207"/>
      <c r="H1" s="207"/>
      <c r="I1" s="207"/>
      <c r="J1" s="207"/>
      <c r="K1" s="207"/>
      <c r="L1" s="207"/>
      <c r="M1" s="207"/>
      <c r="N1" s="207"/>
      <c r="O1" s="207"/>
      <c r="P1" s="207"/>
      <c r="Q1" s="207"/>
      <c r="R1" s="207"/>
      <c r="S1" s="207"/>
      <c r="T1" s="207"/>
      <c r="U1" s="207"/>
      <c r="V1" s="207"/>
      <c r="W1" s="87"/>
      <c r="X1" s="87"/>
      <c r="Y1" s="87"/>
      <c r="Z1" s="87"/>
      <c r="AA1" s="87"/>
      <c r="AB1" s="87"/>
      <c r="AC1" s="88"/>
      <c r="AD1" s="88"/>
      <c r="AE1" s="88"/>
      <c r="AF1" s="102"/>
      <c r="AG1" s="88"/>
      <c r="AH1" s="88"/>
      <c r="AI1" s="88"/>
      <c r="AJ1" s="88"/>
    </row>
    <row r="2" spans="1:37" ht="15" x14ac:dyDescent="0.25">
      <c r="A2" s="99" t="s">
        <v>190</v>
      </c>
      <c r="B2" s="143">
        <v>2022</v>
      </c>
      <c r="C2" s="97" t="s">
        <v>176</v>
      </c>
      <c r="D2" s="187" t="s">
        <v>295</v>
      </c>
      <c r="E2" s="87"/>
      <c r="F2" s="87"/>
      <c r="G2" s="87"/>
      <c r="H2" s="87"/>
      <c r="I2" s="87"/>
      <c r="J2" s="87"/>
      <c r="K2" s="87"/>
      <c r="L2" s="87"/>
      <c r="M2" s="87"/>
      <c r="N2" s="87"/>
      <c r="O2" s="87"/>
      <c r="P2" s="87"/>
      <c r="Q2" s="87"/>
      <c r="R2" s="87"/>
      <c r="S2" s="87"/>
      <c r="T2" s="87"/>
      <c r="U2" s="87"/>
      <c r="V2" s="87"/>
      <c r="W2" s="87"/>
      <c r="X2" s="87"/>
      <c r="Y2" s="87"/>
      <c r="Z2" s="87"/>
      <c r="AA2" s="87"/>
      <c r="AB2" s="87"/>
      <c r="AC2" s="88"/>
      <c r="AD2" s="88"/>
      <c r="AE2" s="88"/>
      <c r="AF2" s="88"/>
      <c r="AG2" s="88"/>
      <c r="AH2" s="88"/>
      <c r="AI2" s="88"/>
      <c r="AJ2" s="88"/>
    </row>
    <row r="3" spans="1:37" ht="13.5" x14ac:dyDescent="0.25">
      <c r="A3" s="113"/>
      <c r="B3" s="114"/>
      <c r="C3" s="114"/>
      <c r="D3" s="87"/>
      <c r="E3" s="106" t="s">
        <v>174</v>
      </c>
      <c r="F3" s="93"/>
      <c r="G3" s="94"/>
      <c r="H3" s="94"/>
      <c r="I3" s="95"/>
      <c r="J3" s="95"/>
      <c r="K3" s="95"/>
      <c r="L3" s="95"/>
      <c r="M3" s="95"/>
      <c r="N3" s="95"/>
      <c r="O3" s="95"/>
      <c r="P3" s="95"/>
      <c r="Q3" s="95"/>
      <c r="R3" s="95"/>
      <c r="S3" s="95"/>
      <c r="T3" s="95"/>
      <c r="U3" s="96"/>
      <c r="V3" s="89"/>
      <c r="W3" s="89"/>
      <c r="X3" s="89"/>
      <c r="Y3" s="89"/>
      <c r="Z3" s="89"/>
      <c r="AA3" s="89"/>
      <c r="AB3" s="89"/>
      <c r="AC3" s="88"/>
      <c r="AD3" s="88"/>
      <c r="AE3" s="88"/>
      <c r="AF3" s="88"/>
      <c r="AG3" s="88"/>
      <c r="AH3" s="88"/>
      <c r="AI3" s="88"/>
      <c r="AJ3" s="88"/>
    </row>
    <row r="4" spans="1:37" ht="96" customHeight="1" x14ac:dyDescent="0.25">
      <c r="A4" s="131" t="s">
        <v>224</v>
      </c>
      <c r="B4" s="132" t="s">
        <v>191</v>
      </c>
      <c r="C4" s="132" t="s">
        <v>192</v>
      </c>
      <c r="D4" s="132" t="s">
        <v>193</v>
      </c>
      <c r="E4" s="205" t="s">
        <v>194</v>
      </c>
      <c r="F4" s="205" t="s">
        <v>195</v>
      </c>
      <c r="G4" s="205" t="s">
        <v>196</v>
      </c>
      <c r="H4" s="205" t="s">
        <v>197</v>
      </c>
      <c r="I4" s="205" t="s">
        <v>198</v>
      </c>
      <c r="J4" s="205" t="s">
        <v>199</v>
      </c>
      <c r="K4" s="205" t="s">
        <v>200</v>
      </c>
      <c r="L4" s="205" t="s">
        <v>201</v>
      </c>
      <c r="M4" s="205" t="s">
        <v>202</v>
      </c>
      <c r="N4" s="205" t="s">
        <v>203</v>
      </c>
      <c r="O4" s="205" t="s">
        <v>204</v>
      </c>
      <c r="P4" s="205" t="s">
        <v>205</v>
      </c>
      <c r="Q4" s="205" t="s">
        <v>206</v>
      </c>
      <c r="R4" s="205" t="s">
        <v>207</v>
      </c>
      <c r="S4" s="205" t="s">
        <v>208</v>
      </c>
      <c r="T4" s="205" t="s">
        <v>209</v>
      </c>
      <c r="U4" s="205" t="s">
        <v>210</v>
      </c>
      <c r="V4" s="133" t="s">
        <v>211</v>
      </c>
      <c r="W4" s="134" t="s">
        <v>212</v>
      </c>
      <c r="X4" s="202" t="s">
        <v>213</v>
      </c>
      <c r="Y4" s="203"/>
      <c r="Z4" s="204"/>
      <c r="AA4" s="208" t="s">
        <v>228</v>
      </c>
      <c r="AB4" s="209"/>
      <c r="AC4" s="210"/>
      <c r="AD4" s="134" t="s">
        <v>214</v>
      </c>
      <c r="AE4" s="134" t="s">
        <v>215</v>
      </c>
      <c r="AF4" s="134" t="s">
        <v>216</v>
      </c>
      <c r="AG4" s="133" t="s">
        <v>217</v>
      </c>
      <c r="AH4" s="133" t="s">
        <v>218</v>
      </c>
      <c r="AI4" s="133" t="s">
        <v>219</v>
      </c>
      <c r="AJ4" s="132" t="s">
        <v>220</v>
      </c>
    </row>
    <row r="5" spans="1:37" ht="12.75" customHeight="1" x14ac:dyDescent="0.25">
      <c r="A5" s="135"/>
      <c r="B5" s="136"/>
      <c r="C5" s="137"/>
      <c r="D5" s="138"/>
      <c r="E5" s="206"/>
      <c r="F5" s="206"/>
      <c r="G5" s="206"/>
      <c r="H5" s="206"/>
      <c r="I5" s="206"/>
      <c r="J5" s="206"/>
      <c r="K5" s="206"/>
      <c r="L5" s="206"/>
      <c r="M5" s="206"/>
      <c r="N5" s="206"/>
      <c r="O5" s="206"/>
      <c r="P5" s="206"/>
      <c r="Q5" s="206"/>
      <c r="R5" s="206"/>
      <c r="S5" s="206"/>
      <c r="T5" s="206"/>
      <c r="U5" s="206"/>
      <c r="V5" s="139" t="s">
        <v>221</v>
      </c>
      <c r="W5" s="139" t="s">
        <v>221</v>
      </c>
      <c r="X5" s="140" t="s">
        <v>4</v>
      </c>
      <c r="Y5" s="140" t="s">
        <v>222</v>
      </c>
      <c r="Z5" s="132" t="s">
        <v>223</v>
      </c>
      <c r="AA5" s="140" t="s">
        <v>4</v>
      </c>
      <c r="AB5" s="140" t="s">
        <v>222</v>
      </c>
      <c r="AC5" s="132" t="s">
        <v>223</v>
      </c>
      <c r="AD5" s="139" t="s">
        <v>221</v>
      </c>
      <c r="AE5" s="139" t="s">
        <v>221</v>
      </c>
      <c r="AF5" s="139" t="s">
        <v>221</v>
      </c>
      <c r="AG5" s="141" t="s">
        <v>280</v>
      </c>
      <c r="AH5" s="141" t="s">
        <v>280</v>
      </c>
      <c r="AI5" s="141" t="s">
        <v>280</v>
      </c>
      <c r="AJ5" s="142"/>
      <c r="AK5" s="80"/>
    </row>
    <row r="6" spans="1:37" s="116" customFormat="1" ht="140.25" x14ac:dyDescent="0.25">
      <c r="A6" s="156" t="s">
        <v>225</v>
      </c>
      <c r="B6" s="191" t="s">
        <v>294</v>
      </c>
      <c r="C6" s="191" t="s">
        <v>293</v>
      </c>
      <c r="D6" s="192" t="s">
        <v>297</v>
      </c>
      <c r="E6" s="192" t="s">
        <v>7</v>
      </c>
      <c r="F6" s="192" t="s">
        <v>7</v>
      </c>
      <c r="G6" s="192" t="s">
        <v>7</v>
      </c>
      <c r="H6" s="192"/>
      <c r="I6" s="192"/>
      <c r="J6" s="192"/>
      <c r="K6" s="192"/>
      <c r="L6" s="192"/>
      <c r="M6" s="192"/>
      <c r="N6" s="192"/>
      <c r="O6" s="192"/>
      <c r="P6" s="192"/>
      <c r="Q6" s="192"/>
      <c r="R6" s="192"/>
      <c r="S6" s="192"/>
      <c r="T6" s="192"/>
      <c r="U6" s="192"/>
      <c r="V6" s="192" t="s">
        <v>270</v>
      </c>
      <c r="W6" s="192" t="s">
        <v>276</v>
      </c>
      <c r="X6" s="198">
        <v>190545</v>
      </c>
      <c r="Y6" s="198">
        <v>124921.302</v>
      </c>
      <c r="Z6" s="198">
        <v>65624</v>
      </c>
      <c r="AA6" s="198">
        <v>780</v>
      </c>
      <c r="AB6" s="198">
        <v>640</v>
      </c>
      <c r="AC6" s="198">
        <v>140</v>
      </c>
      <c r="AD6" s="192" t="s">
        <v>279</v>
      </c>
      <c r="AE6" s="192" t="s">
        <v>279</v>
      </c>
      <c r="AF6" s="192" t="s">
        <v>281</v>
      </c>
      <c r="AG6" s="200">
        <v>8.5</v>
      </c>
      <c r="AH6" s="200">
        <v>6.9</v>
      </c>
      <c r="AI6" s="194">
        <v>41.6</v>
      </c>
      <c r="AJ6" s="199" t="s">
        <v>302</v>
      </c>
      <c r="AK6" s="115"/>
    </row>
    <row r="7" spans="1:37" s="115" customFormat="1" ht="13.5" x14ac:dyDescent="0.25">
      <c r="A7" s="189" t="s">
        <v>226</v>
      </c>
      <c r="B7" s="190" t="s">
        <v>227</v>
      </c>
      <c r="C7" s="123"/>
      <c r="D7" s="103"/>
      <c r="E7" s="103"/>
      <c r="F7" s="103"/>
      <c r="G7" s="103"/>
      <c r="H7" s="103"/>
      <c r="I7" s="103"/>
      <c r="J7" s="103"/>
      <c r="K7" s="103"/>
      <c r="L7" s="103"/>
      <c r="M7" s="103"/>
      <c r="N7" s="103"/>
      <c r="O7" s="103"/>
      <c r="P7" s="103"/>
      <c r="Q7" s="103"/>
      <c r="R7" s="103"/>
      <c r="S7" s="103"/>
      <c r="T7" s="103"/>
      <c r="U7" s="103"/>
      <c r="V7" s="103"/>
      <c r="W7" s="103"/>
      <c r="X7" s="124"/>
      <c r="Y7" s="124"/>
      <c r="Z7" s="124"/>
      <c r="AA7" s="124"/>
      <c r="AB7" s="195"/>
      <c r="AC7" s="195"/>
      <c r="AD7" s="103"/>
      <c r="AE7" s="103"/>
      <c r="AF7" s="103"/>
      <c r="AG7" s="193"/>
      <c r="AH7" s="103"/>
      <c r="AI7" s="197"/>
      <c r="AJ7" s="103"/>
    </row>
    <row r="8" spans="1:37" s="81" customFormat="1" ht="13.5" x14ac:dyDescent="0.25">
      <c r="A8" s="122"/>
      <c r="B8" s="119"/>
      <c r="C8" s="120"/>
      <c r="D8" s="112"/>
      <c r="E8" s="112"/>
      <c r="F8" s="112"/>
      <c r="G8" s="112"/>
      <c r="H8" s="112"/>
      <c r="I8" s="112"/>
      <c r="J8" s="112"/>
      <c r="K8" s="112"/>
      <c r="L8" s="112"/>
      <c r="M8" s="112"/>
      <c r="N8" s="112"/>
      <c r="O8" s="112"/>
      <c r="P8" s="112"/>
      <c r="Q8" s="112"/>
      <c r="R8" s="112"/>
      <c r="S8" s="112"/>
      <c r="T8" s="112"/>
      <c r="U8" s="112"/>
      <c r="V8" s="112"/>
      <c r="W8" s="112"/>
      <c r="X8" s="121"/>
      <c r="Y8" s="121"/>
      <c r="Z8" s="121"/>
      <c r="AA8" s="121"/>
      <c r="AB8" s="196"/>
      <c r="AC8" s="196"/>
      <c r="AD8" s="112"/>
      <c r="AE8" s="112"/>
      <c r="AF8" s="112"/>
      <c r="AG8" s="112"/>
      <c r="AH8" s="112"/>
      <c r="AI8" s="112"/>
      <c r="AJ8" s="112"/>
    </row>
    <row r="9" spans="1:37" s="74" customFormat="1" ht="135" customHeight="1" x14ac:dyDescent="0.25">
      <c r="A9" s="108" t="s">
        <v>12</v>
      </c>
      <c r="B9" s="100" t="s">
        <v>299</v>
      </c>
      <c r="C9" s="101" t="s">
        <v>14</v>
      </c>
      <c r="D9" s="100" t="s">
        <v>297</v>
      </c>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103"/>
      <c r="AG9" s="79"/>
      <c r="AH9" s="79"/>
      <c r="AI9" s="79"/>
      <c r="AJ9" s="79"/>
      <c r="AK9" s="79"/>
    </row>
    <row r="10" spans="1:37" s="74" customFormat="1"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103"/>
      <c r="AG10" s="79"/>
      <c r="AH10" s="79"/>
      <c r="AI10" s="79"/>
      <c r="AJ10" s="79"/>
      <c r="AK10" s="79"/>
    </row>
    <row r="11" spans="1:37" s="75" customFormat="1" hidden="1" x14ac:dyDescent="0.25">
      <c r="A11" s="74"/>
      <c r="B11" s="72"/>
      <c r="C11" s="72"/>
      <c r="D11" s="72"/>
      <c r="E11" s="72"/>
      <c r="F11" s="72"/>
      <c r="G11" s="72"/>
      <c r="H11" s="72"/>
      <c r="I11" s="72"/>
      <c r="J11" s="72"/>
      <c r="K11" s="72"/>
      <c r="L11" s="72"/>
      <c r="M11" s="72"/>
      <c r="N11" s="72"/>
      <c r="O11" s="72"/>
      <c r="P11" s="72"/>
      <c r="Q11" s="72"/>
      <c r="R11" s="72"/>
      <c r="S11" s="72"/>
      <c r="T11" s="72"/>
      <c r="U11" s="72"/>
      <c r="V11" s="72"/>
      <c r="W11" s="72"/>
      <c r="X11" s="72"/>
      <c r="Y11" s="72"/>
      <c r="Z11" s="72"/>
      <c r="AA11" s="72"/>
      <c r="AB11" s="72"/>
      <c r="AC11" s="72"/>
      <c r="AD11" s="72"/>
      <c r="AE11" s="72"/>
      <c r="AF11" s="104"/>
      <c r="AK11" s="82"/>
    </row>
    <row r="12" spans="1:37" hidden="1" x14ac:dyDescent="0.25">
      <c r="A12" s="77"/>
      <c r="B12" s="76"/>
      <c r="C12" s="76"/>
      <c r="D12" s="76"/>
      <c r="E12" s="76"/>
      <c r="F12" s="76"/>
      <c r="G12" s="76"/>
      <c r="H12" s="76"/>
      <c r="I12" s="76"/>
      <c r="J12" s="76"/>
      <c r="K12" s="76"/>
      <c r="L12" s="76"/>
      <c r="M12" s="76"/>
      <c r="N12" s="76"/>
      <c r="O12" s="76"/>
      <c r="P12" s="76"/>
      <c r="Q12" s="76"/>
      <c r="R12" s="76"/>
      <c r="S12" s="76"/>
      <c r="T12" s="76"/>
      <c r="U12" s="76"/>
      <c r="V12" s="76"/>
      <c r="W12" s="76"/>
      <c r="X12" s="76"/>
      <c r="Y12" s="76"/>
      <c r="Z12" s="76"/>
      <c r="AA12" s="77"/>
      <c r="AB12" s="77"/>
    </row>
    <row r="13" spans="1:37" hidden="1" x14ac:dyDescent="0.25">
      <c r="A13" s="77"/>
      <c r="B13" s="76"/>
      <c r="C13" s="76"/>
      <c r="D13" s="76"/>
      <c r="E13" s="76"/>
      <c r="F13" s="76"/>
      <c r="G13" s="76"/>
      <c r="H13" s="76"/>
      <c r="I13" s="76"/>
      <c r="J13" s="76"/>
      <c r="K13" s="76"/>
      <c r="L13" s="76"/>
      <c r="M13" s="76"/>
      <c r="N13" s="76"/>
      <c r="O13" s="76"/>
      <c r="P13" s="76"/>
      <c r="Q13" s="76"/>
      <c r="R13" s="76"/>
      <c r="S13" s="76"/>
      <c r="T13" s="76"/>
      <c r="U13" s="76"/>
      <c r="V13" s="76"/>
      <c r="W13" s="76"/>
      <c r="X13" s="76"/>
      <c r="Y13" s="76"/>
      <c r="Z13" s="76"/>
      <c r="AA13" s="77"/>
      <c r="AB13" s="77"/>
    </row>
    <row r="14" spans="1:37" x14ac:dyDescent="0.25"/>
    <row r="15" spans="1:37" x14ac:dyDescent="0.25"/>
    <row r="16" spans="1:37"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ht="12.75" hidden="1" customHeight="1"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ht="25.5" hidden="1" customHeight="1" x14ac:dyDescent="0.25"/>
    <row r="42" x14ac:dyDescent="0.25"/>
    <row r="43" x14ac:dyDescent="0.25"/>
    <row r="44" x14ac:dyDescent="0.25"/>
    <row r="45" x14ac:dyDescent="0.25"/>
    <row r="46" x14ac:dyDescent="0.25"/>
    <row r="47" x14ac:dyDescent="0.25"/>
    <row r="48" x14ac:dyDescent="0.25"/>
    <row r="49" x14ac:dyDescent="0.25"/>
    <row r="50" x14ac:dyDescent="0.25"/>
    <row r="63" x14ac:dyDescent="0.25"/>
    <row r="64" x14ac:dyDescent="0.25"/>
    <row r="65" x14ac:dyDescent="0.25"/>
    <row r="78" x14ac:dyDescent="0.25"/>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127" priority="2">
      <formula>MOD(ROW(),2)=0</formula>
    </cfRule>
    <cfRule type="expression" dxfId="126" priority="27">
      <formula>MOD(ROW(),2)=1</formula>
    </cfRule>
  </conditionalFormatting>
  <conditionalFormatting sqref="W6:Z8">
    <cfRule type="expression" dxfId="125" priority="1">
      <formula>$V6=#REF!</formula>
    </cfRule>
  </conditionalFormatting>
  <dataValidations xWindow="1223" yWindow="445" count="8">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AF65402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AF130938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AF196474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AF262010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AF327546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AF393082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AF458618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AF524154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AF589690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AF655226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AF720762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AF786298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AF851834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AF917370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AF982906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U6:JZ6 TQ6:TV6 ADM6:ADR6 ANI6:ANN6 AXE6:AXJ6 BHA6:BHF6 BQW6:BRB6 CAS6:CAX6 CKO6:CKT6 CUK6:CUP6 DEG6:DEL6 DOC6:DOH6 DXY6:DYD6 EHU6:EHZ6 ERQ6:ERV6 FBM6:FBR6 FLI6:FLN6 FVE6:FVJ6 GFA6:GFF6 GOW6:GPB6 GYS6:GYX6 HIO6:HIT6 HSK6:HSP6 ICG6:ICL6 IMC6:IMH6 IVY6:IWD6 JFU6:JFZ6 JPQ6:JPV6 JZM6:JZR6 KJI6:KJN6 KTE6:KTJ6 LDA6:LDF6 LMW6:LNB6 LWS6:LWX6 MGO6:MGT6 MQK6:MQP6 NAG6:NAL6 NKC6:NKH6 NTY6:NUD6 ODU6:ODZ6 ONQ6:ONV6 OXM6:OXR6 PHI6:PHN6 PRE6:PRJ6 QBA6:QBF6 QKW6:QLB6 QUS6:QUX6 REO6:RET6 ROK6:ROP6 RYG6:RYL6 SIC6:SIH6 SRY6:SSD6 TBU6:TBZ6 TLQ6:TLV6 TVM6:TVR6 UFI6:UFN6 UPE6:UPJ6 UZA6:UZF6 VIW6:VJB6 VSS6:VSX6 WCO6:WCT6 WMK6:WMP6 WWG6:WWL6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formula1>#REF!</formula1>
    </dataValidation>
    <dataValidation type="list" allowBlank="1" showInputMessage="1" showErrorMessage="1" prompt="Please select from the list" sqref="AD65402:AE65402 JS6:JT6 TO6:TP6 ADK6:ADL6 ANG6:ANH6 AXC6:AXD6 BGY6:BGZ6 BQU6:BQV6 CAQ6:CAR6 CKM6:CKN6 CUI6:CUJ6 DEE6:DEF6 DOA6:DOB6 DXW6:DXX6 EHS6:EHT6 ERO6:ERP6 FBK6:FBL6 FLG6:FLH6 FVC6:FVD6 GEY6:GEZ6 GOU6:GOV6 GYQ6:GYR6 HIM6:HIN6 HSI6:HSJ6 ICE6:ICF6 IMA6:IMB6 IVW6:IVX6 JFS6:JFT6 JPO6:JPP6 JZK6:JZL6 KJG6:KJH6 KTC6:KTD6 LCY6:LCZ6 LMU6:LMV6 LWQ6:LWR6 MGM6:MGN6 MQI6:MQJ6 NAE6:NAF6 NKA6:NKB6 NTW6:NTX6 ODS6:ODT6 ONO6:ONP6 OXK6:OXL6 PHG6:PHH6 PRC6:PRD6 QAY6:QAZ6 QKU6:QKV6 QUQ6:QUR6 REM6:REN6 ROI6:ROJ6 RYE6:RYF6 SIA6:SIB6 SRW6:SRX6 TBS6:TBT6 TLO6:TLP6 TVK6:TVL6 UFG6:UFH6 UPC6:UPD6 UYY6:UYZ6 VIU6:VIV6 VSQ6:VSR6 WCM6:WCN6 WMI6:WMJ6 WWE6:WWF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E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E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E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E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E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E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E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E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E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E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E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E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E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E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formula1>#REF!</formula1>
    </dataValidation>
    <dataValidation type="list" allowBlank="1" showInputMessage="1" showErrorMessage="1" prompt="Please select from the list" sqref="V6">
      <formula1>LIST_CNon</formula1>
    </dataValidation>
    <dataValidation type="list" allowBlank="1" showInputMessage="1" showErrorMessage="1" sqref="W6">
      <formula1>List_MVol</formula1>
    </dataValidation>
    <dataValidation type="list" allowBlank="1" showErrorMessage="1" prompt="Please select from the dropdown list" sqref="AD6:AE6">
      <formula1>LIST_PPrv</formula1>
    </dataValidation>
    <dataValidation type="list" allowBlank="1" showErrorMessage="1" prompt="Please select from the dropdown list" sqref="AF6">
      <formula1>LIST_TPro</formula1>
    </dataValidation>
    <dataValidation type="list" allowBlank="1" showInputMessage="1" showErrorMessage="1" prompt="Please select from the list" sqref="E6:U6">
      <formula1>LIST_X</formula1>
    </dataValidation>
    <dataValidation type="list" allowBlank="1" showInputMessage="1" showErrorMessage="1" prompt="Sélectionnez l'unité dans la liste déroulante" sqref="AG5:AI5">
      <formula1>LIST_Cuni</formula1>
    </dataValidation>
  </dataValidations>
  <hyperlinks>
    <hyperlink ref="E1:G1" r:id="rId3" display="Once filled, please return to: Valeria Nesterenko (socprodata@ilo.org) "/>
    <hyperlink ref="B7" location="'Info Pauvreté'!A1" display="Cliquez ici pour l'Info Pauvreté"/>
    <hyperlink ref="D2" r:id="rId4"/>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N9" sqref="N9"/>
    </sheetView>
  </sheetViews>
  <sheetFormatPr baseColWidth="10" defaultColWidth="0" defaultRowHeight="12.75"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CNSAP Régime de base</v>
      </c>
      <c r="C1" s="154" t="str">
        <f ca="1">IF(OFFSET('Inventaire des régimes'!C5,(_xlfn.SHEET()-2),0)=0,"Name of Scheme in English", OFFSET('Inventaire des régimes'!C5,(_xlfn.SHEET()-2),0))</f>
        <v xml:space="preserve">Branche des pensions </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ht="25.5" x14ac:dyDescent="0.25">
      <c r="A5" s="117" t="s">
        <v>255</v>
      </c>
      <c r="B5" s="157" t="s">
        <v>290</v>
      </c>
      <c r="C5" s="157" t="s">
        <v>290</v>
      </c>
      <c r="D5" s="159" t="s">
        <v>194</v>
      </c>
      <c r="E5" s="160" t="s">
        <v>272</v>
      </c>
      <c r="F5" s="159" t="s">
        <v>273</v>
      </c>
      <c r="G5" s="158" t="s">
        <v>275</v>
      </c>
      <c r="H5" s="158" t="s">
        <v>270</v>
      </c>
      <c r="I5" s="211" t="s">
        <v>303</v>
      </c>
      <c r="J5" s="211">
        <v>124921.302</v>
      </c>
      <c r="K5" s="211">
        <v>65624</v>
      </c>
      <c r="L5" s="175">
        <v>780</v>
      </c>
      <c r="M5" s="176">
        <v>640</v>
      </c>
      <c r="N5" s="176">
        <v>140</v>
      </c>
      <c r="O5" s="161" t="s">
        <v>277</v>
      </c>
      <c r="P5" s="162" t="s">
        <v>278</v>
      </c>
      <c r="Q5" s="161"/>
      <c r="R5" s="201">
        <v>163042.67230000001</v>
      </c>
      <c r="S5" s="161"/>
      <c r="T5" s="163" t="s">
        <v>300</v>
      </c>
      <c r="U5" s="163"/>
      <c r="V5" s="163"/>
      <c r="W5" s="170">
        <v>65</v>
      </c>
      <c r="X5" s="170">
        <v>65</v>
      </c>
      <c r="Y5" s="163" t="s">
        <v>301</v>
      </c>
      <c r="Z5" s="172">
        <v>8.5</v>
      </c>
      <c r="AA5" s="158"/>
      <c r="AB5" s="118"/>
    </row>
    <row r="6" spans="1:28" s="84" customFormat="1" ht="25.5" x14ac:dyDescent="0.25">
      <c r="A6" s="117" t="s">
        <v>256</v>
      </c>
      <c r="B6" s="165" t="s">
        <v>291</v>
      </c>
      <c r="C6" s="165" t="s">
        <v>291</v>
      </c>
      <c r="D6" s="167" t="s">
        <v>271</v>
      </c>
      <c r="E6" s="168" t="s">
        <v>272</v>
      </c>
      <c r="F6" s="169" t="s">
        <v>274</v>
      </c>
      <c r="G6" s="166" t="s">
        <v>275</v>
      </c>
      <c r="H6" s="166" t="s">
        <v>270</v>
      </c>
      <c r="I6" s="212"/>
      <c r="J6" s="212"/>
      <c r="K6" s="212"/>
      <c r="L6" s="178">
        <v>114</v>
      </c>
      <c r="M6" s="178"/>
      <c r="N6" s="178"/>
      <c r="O6" s="162" t="s">
        <v>277</v>
      </c>
      <c r="P6" s="162" t="s">
        <v>278</v>
      </c>
      <c r="Q6" s="162"/>
      <c r="R6" s="201">
        <v>60366.046040000001</v>
      </c>
      <c r="S6" s="162"/>
      <c r="T6" s="170"/>
      <c r="U6" s="170"/>
      <c r="V6" s="170"/>
      <c r="W6" s="170"/>
      <c r="X6" s="170"/>
      <c r="Y6" s="170"/>
      <c r="Z6" s="173"/>
      <c r="AA6" s="166"/>
      <c r="AB6" s="118"/>
    </row>
    <row r="7" spans="1:28" s="84" customFormat="1" x14ac:dyDescent="0.25">
      <c r="A7" s="117" t="s">
        <v>257</v>
      </c>
      <c r="B7" s="165" t="s">
        <v>292</v>
      </c>
      <c r="C7" s="165" t="s">
        <v>292</v>
      </c>
      <c r="D7" s="167" t="s">
        <v>271</v>
      </c>
      <c r="E7" s="168" t="s">
        <v>272</v>
      </c>
      <c r="F7" s="169" t="s">
        <v>199</v>
      </c>
      <c r="G7" s="166" t="s">
        <v>275</v>
      </c>
      <c r="H7" s="166" t="s">
        <v>270</v>
      </c>
      <c r="I7" s="213"/>
      <c r="J7" s="213"/>
      <c r="K7" s="213"/>
      <c r="L7" s="178">
        <v>103</v>
      </c>
      <c r="M7" s="178"/>
      <c r="N7" s="178"/>
      <c r="O7" s="162" t="s">
        <v>277</v>
      </c>
      <c r="P7" s="162" t="s">
        <v>278</v>
      </c>
      <c r="Q7" s="162"/>
      <c r="R7" s="201" t="s">
        <v>304</v>
      </c>
      <c r="S7" s="162"/>
      <c r="T7" s="170"/>
      <c r="U7" s="170"/>
      <c r="V7" s="170"/>
      <c r="W7" s="170"/>
      <c r="X7" s="170"/>
      <c r="Y7" s="170"/>
      <c r="Z7" s="173"/>
      <c r="AA7" s="166"/>
      <c r="AB7" s="118"/>
    </row>
    <row r="8" spans="1:28" s="85" customFormat="1" x14ac:dyDescent="0.25">
      <c r="A8" s="92"/>
      <c r="B8" s="92"/>
      <c r="C8" s="92"/>
      <c r="D8" s="92"/>
      <c r="E8" s="92"/>
      <c r="F8" s="92"/>
      <c r="G8" s="92"/>
      <c r="H8" s="92"/>
      <c r="I8" s="92"/>
      <c r="J8" s="92"/>
      <c r="K8" s="92"/>
      <c r="L8" s="92"/>
      <c r="M8" s="92"/>
      <c r="N8" s="92"/>
      <c r="O8" s="92"/>
      <c r="P8" s="92"/>
      <c r="Q8" s="92"/>
      <c r="R8" s="92"/>
      <c r="S8" s="92"/>
      <c r="T8" s="92"/>
      <c r="U8" s="92"/>
      <c r="V8" s="92"/>
      <c r="W8" s="92"/>
      <c r="X8" s="92"/>
      <c r="Y8" s="92"/>
      <c r="Z8" s="92"/>
      <c r="AA8" s="92"/>
      <c r="AB8" s="92"/>
    </row>
    <row r="9" spans="1:28" ht="135" customHeight="1" x14ac:dyDescent="0.2">
      <c r="A9" s="107" t="s">
        <v>12</v>
      </c>
      <c r="B9" s="98" t="s">
        <v>299</v>
      </c>
      <c r="D9" s="107" t="s">
        <v>14</v>
      </c>
      <c r="E9" s="98" t="s">
        <v>298</v>
      </c>
      <c r="F9" s="86"/>
      <c r="G9" s="86"/>
      <c r="H9" s="86"/>
      <c r="I9" s="86"/>
      <c r="J9" s="86"/>
      <c r="K9" s="86"/>
      <c r="L9" s="86"/>
      <c r="M9" s="86"/>
      <c r="N9" s="86"/>
      <c r="O9" s="86"/>
      <c r="P9" s="86"/>
      <c r="Q9" s="86"/>
      <c r="R9" s="86"/>
      <c r="S9" s="86"/>
      <c r="T9" s="86"/>
      <c r="U9" s="86"/>
      <c r="V9" s="86"/>
      <c r="W9" s="86"/>
      <c r="X9" s="86"/>
      <c r="Y9" s="86"/>
      <c r="Z9" s="86"/>
      <c r="AA9" s="86"/>
      <c r="AB9" s="86"/>
    </row>
    <row r="10" spans="1:28" x14ac:dyDescent="0.2">
      <c r="A10" s="92"/>
      <c r="B10" s="92"/>
      <c r="C10" s="86"/>
      <c r="D10" s="86"/>
      <c r="E10" s="86"/>
      <c r="F10" s="86"/>
      <c r="G10" s="86"/>
      <c r="H10" s="86"/>
      <c r="I10" s="86"/>
      <c r="J10" s="86"/>
      <c r="K10" s="86"/>
      <c r="L10" s="86"/>
      <c r="M10" s="86"/>
      <c r="N10" s="86"/>
      <c r="O10" s="86"/>
      <c r="P10" s="86"/>
      <c r="Q10" s="86"/>
      <c r="R10" s="86"/>
      <c r="S10" s="86"/>
      <c r="T10" s="86"/>
      <c r="U10" s="86"/>
      <c r="V10" s="86"/>
      <c r="W10" s="86"/>
      <c r="X10" s="86"/>
      <c r="Y10" s="86"/>
      <c r="Z10" s="86"/>
      <c r="AA10" s="86"/>
      <c r="AB10" s="86"/>
    </row>
    <row r="11" spans="1:28" x14ac:dyDescent="0.2"/>
    <row r="12" spans="1:28" x14ac:dyDescent="0.2"/>
    <row r="13" spans="1:28" x14ac:dyDescent="0.2"/>
    <row r="14" spans="1:28" x14ac:dyDescent="0.2"/>
    <row r="15" spans="1:28" x14ac:dyDescent="0.2"/>
    <row r="16" spans="1:28" x14ac:dyDescent="0.2"/>
    <row r="17" x14ac:dyDescent="0.2"/>
    <row r="18" x14ac:dyDescent="0.2"/>
    <row r="19" x14ac:dyDescent="0.2"/>
    <row r="20" x14ac:dyDescent="0.2"/>
    <row r="21" x14ac:dyDescent="0.2"/>
    <row r="22" x14ac:dyDescent="0.2"/>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124" priority="18">
      <formula>$O5=#REF!</formula>
    </cfRule>
  </conditionalFormatting>
  <conditionalFormatting sqref="I5:K5 T5:T7">
    <cfRule type="expression" dxfId="123" priority="28">
      <formula>$H5=#REF!</formula>
    </cfRule>
  </conditionalFormatting>
  <conditionalFormatting sqref="U5:V7">
    <cfRule type="expression" dxfId="122" priority="30">
      <formula>$H5=#REF!</formula>
    </cfRule>
  </conditionalFormatting>
  <conditionalFormatting sqref="R5:R7">
    <cfRule type="expression" dxfId="121" priority="2">
      <formula>$O5=#REF!</formula>
    </cfRule>
  </conditionalFormatting>
  <conditionalFormatting sqref="W5:X7">
    <cfRule type="expression" dxfId="120" priority="1">
      <formula>$H5=#REF!</formula>
    </cfRule>
  </conditionalFormatting>
  <dataValidations count="9">
    <dataValidation type="list" allowBlank="1" showInputMessage="1" showErrorMessage="1" sqref="D5:D7">
      <formula1>LIST_Func</formula1>
    </dataValidation>
    <dataValidation type="list" allowBlank="1" showInputMessage="1" showErrorMessage="1" sqref="F5:F7">
      <formula1>LIST_AgrGrp</formula1>
    </dataValidation>
    <dataValidation type="list" allowBlank="1" showInputMessage="1" showErrorMessage="1" sqref="G5:G7">
      <formula1>LIST_Area</formula1>
    </dataValidation>
    <dataValidation type="list" allowBlank="1" showInputMessage="1" showErrorMessage="1" sqref="H5:H7">
      <formula1>LIST_CNon</formula1>
    </dataValidation>
    <dataValidation type="list" allowBlank="1" showInputMessage="1" showErrorMessage="1" sqref="U5:U7">
      <formula1>LIST_Test</formula1>
    </dataValidation>
    <dataValidation type="list" allowBlank="1" showInputMessage="1" showErrorMessage="1" sqref="V5:V7">
      <formula1>LIST_Con</formula1>
    </dataValidation>
    <dataValidation type="list" allowBlank="1" showInputMessage="1" showErrorMessage="1" sqref="O5:O7">
      <formula1>LIST_CKnd</formula1>
    </dataValidation>
    <dataValidation type="list" allowBlank="1" showInputMessage="1" showErrorMessage="1" sqref="P5:P7">
      <formula1>LIST_Per</formula1>
    </dataValidation>
    <dataValidation type="list" allowBlank="1" showInputMessage="1" showErrorMessage="1" sqref="E5:E7">
      <formula1>#REF!</formula1>
    </dataValidation>
  </dataValidations>
  <hyperlinks>
    <hyperlink ref="A1" location="'Inventaire des régimes'!B1" display="RETOUR à l'Inventaire"/>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Cliquez ici pour l'Info Pauvreté</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Les chiffres dans les cellules fusionnées représentent les totaux, faute de disposer des données détaillées par régime</v>
      </c>
      <c r="C1" s="154" t="str">
        <f ca="1">IF(OFFSET('Inventaire des régimes'!C5,(_xlfn.SHEET()-2),0)=0,"Name of Scheme in English", OFFSET('Inventaire des régimes'!C5,(_xlfn.SHEET()-2),0))</f>
        <v>Sources:</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5" t="s">
        <v>251</v>
      </c>
      <c r="J2" s="215"/>
      <c r="K2" s="215"/>
      <c r="L2" s="215"/>
      <c r="M2" s="215"/>
      <c r="N2" s="215"/>
      <c r="O2" s="216" t="s">
        <v>252</v>
      </c>
      <c r="P2" s="216"/>
      <c r="Q2" s="216"/>
      <c r="R2" s="216"/>
      <c r="S2" s="216"/>
      <c r="T2" s="214" t="s">
        <v>253</v>
      </c>
      <c r="U2" s="214"/>
      <c r="V2" s="214"/>
      <c r="W2" s="214"/>
      <c r="X2" s="214"/>
      <c r="Y2" s="214"/>
      <c r="Z2" s="91" t="s">
        <v>254</v>
      </c>
      <c r="AA2" s="86"/>
      <c r="AB2" s="86"/>
    </row>
    <row r="3" spans="1:28" ht="94.5" x14ac:dyDescent="0.2">
      <c r="A3" s="144" t="s">
        <v>229</v>
      </c>
      <c r="B3" s="132" t="s">
        <v>230</v>
      </c>
      <c r="C3" s="132" t="s">
        <v>231</v>
      </c>
      <c r="D3" s="132" t="s">
        <v>232</v>
      </c>
      <c r="E3" s="202" t="s">
        <v>250</v>
      </c>
      <c r="F3" s="203"/>
      <c r="G3" s="204"/>
      <c r="H3" s="132" t="s">
        <v>233</v>
      </c>
      <c r="I3" s="202" t="s">
        <v>234</v>
      </c>
      <c r="J3" s="203"/>
      <c r="K3" s="204"/>
      <c r="L3" s="208" t="s">
        <v>228</v>
      </c>
      <c r="M3" s="209"/>
      <c r="N3" s="210"/>
      <c r="O3" s="132" t="s">
        <v>235</v>
      </c>
      <c r="P3" s="132" t="s">
        <v>236</v>
      </c>
      <c r="Q3" s="132" t="s">
        <v>237</v>
      </c>
      <c r="R3" s="132" t="s">
        <v>238</v>
      </c>
      <c r="S3" s="132" t="s">
        <v>239</v>
      </c>
      <c r="T3" s="132" t="s">
        <v>240</v>
      </c>
      <c r="U3" s="132" t="s">
        <v>282</v>
      </c>
      <c r="V3" s="132" t="s">
        <v>241</v>
      </c>
      <c r="W3" s="202" t="s">
        <v>242</v>
      </c>
      <c r="X3" s="204"/>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DG">
    <tabColor rgb="FFFFC000"/>
  </sheetPr>
  <dimension ref="A1:D39"/>
  <sheetViews>
    <sheetView workbookViewId="0">
      <selection activeCell="B3" sqref="B3"/>
    </sheetView>
  </sheetViews>
  <sheetFormatPr baseColWidth="10" defaultColWidth="9.140625" defaultRowHeight="15" x14ac:dyDescent="0.25"/>
  <cols>
    <col min="1" max="1" width="41.5703125" bestFit="1" customWidth="1"/>
    <col min="4" max="4" width="9.7109375" customWidth="1"/>
    <col min="6" max="6" width="32.28515625" bestFit="1" customWidth="1"/>
  </cols>
  <sheetData>
    <row r="1" spans="1:4" x14ac:dyDescent="0.25">
      <c r="A1" s="28"/>
      <c r="B1" s="28" t="s">
        <v>4</v>
      </c>
      <c r="C1" s="28" t="s">
        <v>6</v>
      </c>
      <c r="D1" s="28" t="s">
        <v>5</v>
      </c>
    </row>
    <row r="2" spans="1:4" x14ac:dyDescent="0.25">
      <c r="A2" s="15" t="s">
        <v>16</v>
      </c>
      <c r="B2" s="16"/>
      <c r="C2" s="16"/>
      <c r="D2" s="17"/>
    </row>
    <row r="3" spans="1:4" x14ac:dyDescent="0.25">
      <c r="A3" s="18" t="s">
        <v>17</v>
      </c>
      <c r="B3" s="19"/>
      <c r="C3" s="19"/>
      <c r="D3" s="20"/>
    </row>
    <row r="4" spans="1:4" x14ac:dyDescent="0.25">
      <c r="A4" s="18" t="s">
        <v>18</v>
      </c>
      <c r="B4" s="19"/>
      <c r="C4" s="19"/>
      <c r="D4" s="20"/>
    </row>
    <row r="5" spans="1:4" x14ac:dyDescent="0.25">
      <c r="A5" s="18" t="s">
        <v>19</v>
      </c>
      <c r="B5" s="19"/>
      <c r="C5" s="19"/>
      <c r="D5" s="20"/>
    </row>
    <row r="6" spans="1:4" x14ac:dyDescent="0.25">
      <c r="A6" s="18" t="s">
        <v>44</v>
      </c>
      <c r="B6" s="19"/>
      <c r="C6" s="19"/>
      <c r="D6" s="20"/>
    </row>
    <row r="7" spans="1:4" x14ac:dyDescent="0.25">
      <c r="A7" s="18" t="s">
        <v>45</v>
      </c>
      <c r="B7" s="19"/>
      <c r="C7" s="19"/>
      <c r="D7" s="20"/>
    </row>
    <row r="8" spans="1:4" s="1" customFormat="1" x14ac:dyDescent="0.25">
      <c r="A8" s="21"/>
      <c r="B8" s="20"/>
      <c r="C8" s="20"/>
      <c r="D8" s="20"/>
    </row>
    <row r="9" spans="1:4" s="1" customFormat="1" x14ac:dyDescent="0.25">
      <c r="A9" s="180" t="s">
        <v>285</v>
      </c>
      <c r="B9" s="181"/>
      <c r="C9" s="181"/>
      <c r="D9" s="182"/>
    </row>
    <row r="10" spans="1:4" s="1" customFormat="1" x14ac:dyDescent="0.25">
      <c r="A10" s="183" t="s">
        <v>286</v>
      </c>
      <c r="B10" s="184"/>
      <c r="C10" s="184"/>
      <c r="D10" s="184"/>
    </row>
    <row r="11" spans="1:4" x14ac:dyDescent="0.25">
      <c r="A11" s="185" t="s">
        <v>0</v>
      </c>
      <c r="B11" s="186"/>
      <c r="C11" s="186"/>
      <c r="D11" s="186"/>
    </row>
    <row r="12" spans="1:4" x14ac:dyDescent="0.25">
      <c r="A12" s="185"/>
      <c r="B12" s="186"/>
      <c r="C12" s="186"/>
      <c r="D12" s="186"/>
    </row>
    <row r="13" spans="1:4" x14ac:dyDescent="0.25">
      <c r="A13" s="15" t="s">
        <v>9</v>
      </c>
      <c r="B13" s="16"/>
      <c r="C13" s="16"/>
      <c r="D13" s="17"/>
    </row>
    <row r="14" spans="1:4" x14ac:dyDescent="0.25">
      <c r="A14" s="18" t="s">
        <v>22</v>
      </c>
      <c r="B14" s="19"/>
      <c r="C14" s="19"/>
      <c r="D14" s="20"/>
    </row>
    <row r="15" spans="1:4" s="2" customFormat="1" x14ac:dyDescent="0.25">
      <c r="A15" s="18"/>
      <c r="B15" s="19"/>
      <c r="C15" s="19"/>
      <c r="D15" s="20"/>
    </row>
    <row r="16" spans="1:4" x14ac:dyDescent="0.25">
      <c r="A16" s="15" t="s">
        <v>28</v>
      </c>
      <c r="B16" s="16"/>
      <c r="C16" s="16"/>
      <c r="D16" s="17"/>
    </row>
    <row r="17" spans="1:4" x14ac:dyDescent="0.25">
      <c r="A17" s="18" t="s">
        <v>27</v>
      </c>
      <c r="B17" s="19"/>
      <c r="C17" s="19"/>
      <c r="D17" s="20"/>
    </row>
    <row r="18" spans="1:4" s="2" customFormat="1" x14ac:dyDescent="0.25">
      <c r="A18" s="18"/>
      <c r="B18" s="19"/>
      <c r="C18" s="19"/>
      <c r="D18" s="20"/>
    </row>
    <row r="19" spans="1:4" x14ac:dyDescent="0.25">
      <c r="A19" s="15" t="s">
        <v>23</v>
      </c>
      <c r="B19" s="16"/>
      <c r="C19" s="16"/>
      <c r="D19" s="17"/>
    </row>
    <row r="20" spans="1:4" x14ac:dyDescent="0.25">
      <c r="A20" s="18" t="s">
        <v>51</v>
      </c>
      <c r="B20" s="19"/>
      <c r="C20" s="19"/>
      <c r="D20" s="20"/>
    </row>
    <row r="21" spans="1:4" x14ac:dyDescent="0.25">
      <c r="A21" s="18" t="s">
        <v>47</v>
      </c>
      <c r="B21" s="19"/>
      <c r="C21" s="19"/>
      <c r="D21" s="20"/>
    </row>
    <row r="22" spans="1:4" x14ac:dyDescent="0.25">
      <c r="A22" s="18" t="s">
        <v>46</v>
      </c>
      <c r="B22" s="19"/>
      <c r="C22" s="19"/>
      <c r="D22" s="20"/>
    </row>
    <row r="23" spans="1:4" x14ac:dyDescent="0.25">
      <c r="A23" s="18"/>
      <c r="B23" s="19"/>
      <c r="C23" s="19"/>
      <c r="D23" s="20"/>
    </row>
    <row r="24" spans="1:4" x14ac:dyDescent="0.25">
      <c r="A24" s="15" t="s">
        <v>287</v>
      </c>
      <c r="B24" s="15"/>
      <c r="C24" s="15"/>
      <c r="D24" s="15"/>
    </row>
    <row r="25" spans="1:4" x14ac:dyDescent="0.25">
      <c r="A25" s="18" t="s">
        <v>288</v>
      </c>
      <c r="B25" s="19"/>
      <c r="C25" s="19"/>
      <c r="D25" s="20"/>
    </row>
    <row r="26" spans="1:4" x14ac:dyDescent="0.25">
      <c r="A26" s="18"/>
      <c r="B26" s="19"/>
      <c r="C26" s="19"/>
      <c r="D26" s="20"/>
    </row>
    <row r="27" spans="1:4" x14ac:dyDescent="0.25">
      <c r="A27" s="15" t="s">
        <v>10</v>
      </c>
      <c r="B27" s="16"/>
      <c r="C27" s="16"/>
      <c r="D27" s="17"/>
    </row>
    <row r="28" spans="1:4" x14ac:dyDescent="0.25">
      <c r="A28" s="18" t="s">
        <v>20</v>
      </c>
      <c r="B28" s="19"/>
      <c r="C28" s="19"/>
      <c r="D28" s="20"/>
    </row>
    <row r="29" spans="1:4" x14ac:dyDescent="0.25">
      <c r="A29" s="18" t="s">
        <v>21</v>
      </c>
      <c r="B29" s="19"/>
      <c r="C29" s="19"/>
      <c r="D29" s="20"/>
    </row>
    <row r="30" spans="1:4" x14ac:dyDescent="0.25">
      <c r="A30" s="18"/>
      <c r="B30" s="19"/>
      <c r="C30" s="19"/>
      <c r="D30" s="20"/>
    </row>
    <row r="31" spans="1:4" x14ac:dyDescent="0.25">
      <c r="A31" s="15" t="s">
        <v>52</v>
      </c>
      <c r="B31" s="16"/>
      <c r="C31" s="16"/>
      <c r="D31" s="17"/>
    </row>
    <row r="32" spans="1:4" x14ac:dyDescent="0.25">
      <c r="A32" s="18" t="s">
        <v>24</v>
      </c>
      <c r="B32" s="19"/>
      <c r="C32" s="19"/>
      <c r="D32" s="20"/>
    </row>
    <row r="33" spans="1:4" x14ac:dyDescent="0.25">
      <c r="A33" s="18"/>
      <c r="B33" s="18"/>
      <c r="C33" s="18"/>
      <c r="D33" s="21"/>
    </row>
    <row r="34" spans="1:4" x14ac:dyDescent="0.25">
      <c r="A34" s="15" t="s">
        <v>25</v>
      </c>
      <c r="B34" s="16"/>
      <c r="C34" s="16"/>
      <c r="D34" s="17"/>
    </row>
    <row r="35" spans="1:4" x14ac:dyDescent="0.25">
      <c r="A35" s="22" t="s">
        <v>26</v>
      </c>
      <c r="B35" s="23"/>
      <c r="C35" s="23"/>
      <c r="D35" s="24"/>
    </row>
    <row r="36" spans="1:4" x14ac:dyDescent="0.25">
      <c r="A36" s="22"/>
      <c r="B36" s="23"/>
      <c r="C36" s="23"/>
      <c r="D36" s="24"/>
    </row>
    <row r="37" spans="1:4" x14ac:dyDescent="0.25">
      <c r="A37" s="15" t="s">
        <v>48</v>
      </c>
      <c r="B37" s="16"/>
      <c r="C37" s="16"/>
      <c r="D37" s="17"/>
    </row>
    <row r="38" spans="1:4" x14ac:dyDescent="0.25">
      <c r="A38" s="22" t="s">
        <v>49</v>
      </c>
      <c r="B38" s="23"/>
      <c r="C38" s="23"/>
      <c r="D38" s="24"/>
    </row>
    <row r="39" spans="1:4" x14ac:dyDescent="0.25">
      <c r="A39" s="25" t="s">
        <v>50</v>
      </c>
      <c r="B39" s="26"/>
      <c r="C39" s="26"/>
      <c r="D39" s="13"/>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c">
    <tabColor rgb="FFFFC000"/>
  </sheetPr>
  <dimension ref="A1:N50"/>
  <sheetViews>
    <sheetView workbookViewId="0">
      <selection activeCell="F32" sqref="F32"/>
    </sheetView>
  </sheetViews>
  <sheetFormatPr baseColWidth="10" defaultColWidth="9.140625" defaultRowHeight="15" x14ac:dyDescent="0.25"/>
  <cols>
    <col min="1" max="1" width="9.7109375" style="3" customWidth="1"/>
    <col min="2" max="3" width="63.28515625" style="7" customWidth="1"/>
    <col min="4" max="4" width="44.42578125" style="7" customWidth="1"/>
    <col min="5" max="5" width="47.5703125" style="7" customWidth="1"/>
    <col min="6" max="6" width="11.140625" style="27" customWidth="1"/>
    <col min="7" max="7" width="8.140625" style="7" customWidth="1"/>
    <col min="8" max="8" width="7.5703125" style="7" bestFit="1" customWidth="1"/>
    <col min="9" max="11" width="10.85546875" style="14" customWidth="1"/>
    <col min="12" max="12" width="9.140625" style="11"/>
    <col min="13" max="13" width="11.7109375" style="11" bestFit="1" customWidth="1"/>
    <col min="14" max="14" width="11.42578125" style="11" customWidth="1"/>
    <col min="15" max="16384" width="9.140625" style="3"/>
  </cols>
  <sheetData>
    <row r="1" spans="1:14" x14ac:dyDescent="0.25">
      <c r="A1" s="39"/>
      <c r="B1" s="30" t="s">
        <v>29</v>
      </c>
      <c r="C1" s="4" t="s">
        <v>30</v>
      </c>
      <c r="D1" s="4" t="s">
        <v>53</v>
      </c>
      <c r="E1" s="4" t="s">
        <v>54</v>
      </c>
      <c r="F1" s="217" t="s">
        <v>160</v>
      </c>
      <c r="G1" s="217"/>
      <c r="H1" s="217"/>
      <c r="I1" s="218" t="s">
        <v>161</v>
      </c>
      <c r="J1" s="218"/>
      <c r="K1" s="218"/>
      <c r="L1" s="219" t="s">
        <v>145</v>
      </c>
      <c r="M1" s="219"/>
      <c r="N1" s="219"/>
    </row>
    <row r="2" spans="1:14" x14ac:dyDescent="0.25">
      <c r="A2" s="39"/>
      <c r="B2" s="5"/>
      <c r="C2" s="5"/>
      <c r="D2" s="5"/>
      <c r="E2" s="5"/>
      <c r="F2" s="31" t="s">
        <v>4</v>
      </c>
      <c r="G2" s="32" t="s">
        <v>6</v>
      </c>
      <c r="H2" s="32" t="s">
        <v>5</v>
      </c>
      <c r="I2" s="33" t="s">
        <v>4</v>
      </c>
      <c r="J2" s="33" t="s">
        <v>6</v>
      </c>
      <c r="K2" s="33" t="s">
        <v>5</v>
      </c>
      <c r="L2" s="34" t="s">
        <v>4</v>
      </c>
      <c r="M2" s="34" t="s">
        <v>6</v>
      </c>
      <c r="N2" s="34" t="s">
        <v>5</v>
      </c>
    </row>
    <row r="3" spans="1:14" ht="75" x14ac:dyDescent="0.25">
      <c r="A3" s="29" t="s">
        <v>31</v>
      </c>
      <c r="B3" s="50" t="s">
        <v>171</v>
      </c>
      <c r="C3" s="50" t="s">
        <v>32</v>
      </c>
      <c r="D3" s="50" t="s">
        <v>55</v>
      </c>
      <c r="E3" s="51" t="s">
        <v>159</v>
      </c>
      <c r="F3" s="223" t="s">
        <v>158</v>
      </c>
      <c r="G3" s="223"/>
      <c r="H3" s="223"/>
      <c r="I3" s="52">
        <f>'ADDITIONAL statistics for SDGs'!B9</f>
        <v>0</v>
      </c>
      <c r="J3" s="53" t="s">
        <v>15</v>
      </c>
      <c r="K3" s="53" t="s">
        <v>15</v>
      </c>
      <c r="L3" s="54" t="e">
        <f>20294/I3</f>
        <v>#DIV/0!</v>
      </c>
      <c r="M3" s="53" t="s">
        <v>15</v>
      </c>
      <c r="N3" s="53" t="s">
        <v>15</v>
      </c>
    </row>
    <row r="4" spans="1:14" ht="45" x14ac:dyDescent="0.25">
      <c r="A4" s="220" t="s">
        <v>169</v>
      </c>
      <c r="B4" s="6" t="s">
        <v>151</v>
      </c>
      <c r="C4" s="9" t="s">
        <v>34</v>
      </c>
      <c r="D4" s="8" t="s">
        <v>58</v>
      </c>
      <c r="E4" s="8" t="s">
        <v>59</v>
      </c>
      <c r="F4" s="35"/>
      <c r="G4" s="35"/>
      <c r="H4" s="35"/>
      <c r="I4" s="35">
        <f>'ADDITIONAL statistics for SDGs'!B6</f>
        <v>0</v>
      </c>
      <c r="J4" s="35">
        <f>'ADDITIONAL statistics for SDGs'!C6</f>
        <v>0</v>
      </c>
      <c r="K4" s="35">
        <f>'ADDITIONAL statistics for SDGs'!D6</f>
        <v>0</v>
      </c>
      <c r="L4" s="38" t="e">
        <f t="shared" ref="L4:N7" si="0">F4/I4</f>
        <v>#DIV/0!</v>
      </c>
      <c r="M4" s="38" t="e">
        <f t="shared" si="0"/>
        <v>#DIV/0!</v>
      </c>
      <c r="N4" s="38" t="e">
        <f t="shared" si="0"/>
        <v>#DIV/0!</v>
      </c>
    </row>
    <row r="5" spans="1:14" ht="30" x14ac:dyDescent="0.25">
      <c r="A5" s="220"/>
      <c r="B5" s="6" t="s">
        <v>152</v>
      </c>
      <c r="C5" s="9" t="s">
        <v>35</v>
      </c>
      <c r="D5" s="8" t="s">
        <v>162</v>
      </c>
      <c r="E5" s="8" t="s">
        <v>60</v>
      </c>
      <c r="F5" s="35"/>
      <c r="G5" s="35"/>
      <c r="H5" s="35"/>
      <c r="I5" s="35">
        <f>'ADDITIONAL statistics for SDGs'!B9</f>
        <v>0</v>
      </c>
      <c r="J5" s="35">
        <f>'ADDITIONAL statistics for SDGs'!C9</f>
        <v>0</v>
      </c>
      <c r="K5" s="35">
        <f>'ADDITIONAL statistics for SDGs'!D9</f>
        <v>0</v>
      </c>
      <c r="L5" s="38" t="e">
        <f t="shared" si="0"/>
        <v>#DIV/0!</v>
      </c>
      <c r="M5" s="38" t="e">
        <f t="shared" si="0"/>
        <v>#DIV/0!</v>
      </c>
      <c r="N5" s="38" t="e">
        <f t="shared" si="0"/>
        <v>#DIV/0!</v>
      </c>
    </row>
    <row r="6" spans="1:14" ht="60" x14ac:dyDescent="0.25">
      <c r="A6" s="220"/>
      <c r="B6" s="5" t="s">
        <v>172</v>
      </c>
      <c r="C6" s="5" t="s">
        <v>36</v>
      </c>
      <c r="D6" s="8" t="s">
        <v>61</v>
      </c>
      <c r="E6" s="8" t="s">
        <v>62</v>
      </c>
      <c r="F6" s="35"/>
      <c r="G6" s="35"/>
      <c r="H6" s="35"/>
      <c r="I6" s="35">
        <f>'ADDITIONAL statistics for SDGs'!B24</f>
        <v>0</v>
      </c>
      <c r="J6" s="35">
        <f>'ADDITIONAL statistics for SDGs'!C24</f>
        <v>0</v>
      </c>
      <c r="K6" s="35">
        <f>'ADDITIONAL statistics for SDGs'!D24</f>
        <v>0</v>
      </c>
      <c r="L6" s="38" t="e">
        <f t="shared" si="0"/>
        <v>#DIV/0!</v>
      </c>
      <c r="M6" s="38" t="e">
        <f t="shared" si="0"/>
        <v>#DIV/0!</v>
      </c>
      <c r="N6" s="38" t="e">
        <f t="shared" si="0"/>
        <v>#DIV/0!</v>
      </c>
    </row>
    <row r="7" spans="1:14" ht="30" x14ac:dyDescent="0.25">
      <c r="A7" s="220"/>
      <c r="B7" s="5" t="s">
        <v>153</v>
      </c>
      <c r="C7" s="6" t="s">
        <v>37</v>
      </c>
      <c r="D7" s="8" t="s">
        <v>63</v>
      </c>
      <c r="E7" s="8" t="s">
        <v>147</v>
      </c>
      <c r="F7" s="35"/>
      <c r="G7" s="35"/>
      <c r="H7" s="35"/>
      <c r="I7" s="35">
        <f>'ADDITIONAL statistics for SDGs'!B21</f>
        <v>0</v>
      </c>
      <c r="J7" s="35">
        <f>'ADDITIONAL statistics for SDGs'!C21</f>
        <v>0</v>
      </c>
      <c r="K7" s="35">
        <f>'ADDITIONAL statistics for SDGs'!D21</f>
        <v>0</v>
      </c>
      <c r="L7" s="38" t="e">
        <f t="shared" si="0"/>
        <v>#DIV/0!</v>
      </c>
      <c r="M7" s="38" t="e">
        <f t="shared" si="0"/>
        <v>#DIV/0!</v>
      </c>
      <c r="N7" s="38" t="e">
        <f t="shared" si="0"/>
        <v>#DIV/0!</v>
      </c>
    </row>
    <row r="8" spans="1:14" ht="60" x14ac:dyDescent="0.25">
      <c r="A8" s="220"/>
      <c r="B8" s="5" t="s">
        <v>173</v>
      </c>
      <c r="C8" s="5" t="s">
        <v>38</v>
      </c>
      <c r="D8" s="8" t="s">
        <v>64</v>
      </c>
      <c r="E8" s="8" t="s">
        <v>65</v>
      </c>
      <c r="F8" s="35"/>
      <c r="G8" s="37"/>
      <c r="H8" s="37"/>
      <c r="I8" s="35">
        <f>'ADDITIONAL statistics for SDGs'!B27</f>
        <v>0</v>
      </c>
      <c r="J8" s="35" t="s">
        <v>15</v>
      </c>
      <c r="K8" s="35">
        <f>'ADDITIONAL statistics for SDGs'!D27</f>
        <v>0</v>
      </c>
      <c r="L8" s="38" t="e">
        <f>F8/I8</f>
        <v>#DIV/0!</v>
      </c>
      <c r="M8" s="38" t="s">
        <v>15</v>
      </c>
      <c r="N8" s="38" t="e">
        <f>H8/K8</f>
        <v>#DIV/0!</v>
      </c>
    </row>
    <row r="9" spans="1:14" ht="30" x14ac:dyDescent="0.25">
      <c r="A9" s="220"/>
      <c r="B9" s="5" t="s">
        <v>154</v>
      </c>
      <c r="C9" s="5" t="s">
        <v>39</v>
      </c>
      <c r="D9" s="8" t="s">
        <v>66</v>
      </c>
      <c r="E9" s="8" t="s">
        <v>67</v>
      </c>
      <c r="F9" s="35"/>
      <c r="G9" s="37"/>
      <c r="H9" s="37"/>
      <c r="I9" s="35">
        <f>'ADDITIONAL statistics for SDGs'!B15</f>
        <v>0</v>
      </c>
      <c r="J9" s="35">
        <f>'ADDITIONAL statistics for SDGs'!C15</f>
        <v>0</v>
      </c>
      <c r="K9" s="35">
        <f>'ADDITIONAL statistics for SDGs'!D15</f>
        <v>0</v>
      </c>
      <c r="L9" s="38" t="e">
        <f>F9/I9</f>
        <v>#DIV/0!</v>
      </c>
      <c r="M9" s="38" t="e">
        <f>G9/J9</f>
        <v>#DIV/0!</v>
      </c>
      <c r="N9" s="38" t="e">
        <f>H9/K9</f>
        <v>#DIV/0!</v>
      </c>
    </row>
    <row r="10" spans="1:14" ht="30" x14ac:dyDescent="0.25">
      <c r="A10" s="220"/>
      <c r="B10" s="5" t="s">
        <v>155</v>
      </c>
      <c r="C10" s="5" t="s">
        <v>40</v>
      </c>
      <c r="D10" s="8" t="s">
        <v>68</v>
      </c>
      <c r="E10" s="8" t="s">
        <v>69</v>
      </c>
      <c r="F10" s="35"/>
      <c r="G10" s="35"/>
      <c r="H10" s="35"/>
      <c r="I10" s="35">
        <f>'ADDITIONAL statistics for SDGs'!B4</f>
        <v>0</v>
      </c>
      <c r="J10" s="35">
        <f>'ADDITIONAL statistics for SDGs'!C4</f>
        <v>0</v>
      </c>
      <c r="K10" s="35">
        <f>'ADDITIONAL statistics for SDGs'!D4</f>
        <v>0</v>
      </c>
      <c r="L10" s="38" t="e">
        <f>F10/I10</f>
        <v>#DIV/0!</v>
      </c>
      <c r="M10" s="38" t="e">
        <f>G10/J10</f>
        <v>#DIV/0!</v>
      </c>
      <c r="N10" s="38" t="e">
        <f>H10/K10</f>
        <v>#DIV/0!</v>
      </c>
    </row>
    <row r="11" spans="1:14" ht="90" x14ac:dyDescent="0.25">
      <c r="A11" s="220"/>
      <c r="B11" s="5" t="s">
        <v>156</v>
      </c>
      <c r="C11" s="5" t="s">
        <v>41</v>
      </c>
      <c r="D11" s="8" t="s">
        <v>70</v>
      </c>
      <c r="E11" s="8" t="s">
        <v>42</v>
      </c>
      <c r="F11" s="35"/>
      <c r="G11" s="35"/>
      <c r="H11" s="35"/>
      <c r="I11" s="35"/>
      <c r="J11" s="35"/>
      <c r="K11" s="35"/>
      <c r="L11" s="38" t="e">
        <f t="shared" ref="L11:L28" si="1">F11/I11</f>
        <v>#DIV/0!</v>
      </c>
      <c r="M11" s="38" t="e">
        <f t="shared" ref="M11:M28" si="2">G11/J11</f>
        <v>#DIV/0!</v>
      </c>
      <c r="N11" s="38" t="e">
        <f t="shared" ref="N11:N28" si="3">H11/K11</f>
        <v>#DIV/0!</v>
      </c>
    </row>
    <row r="12" spans="1:14" ht="60.75" thickBot="1" x14ac:dyDescent="0.3">
      <c r="A12" s="221"/>
      <c r="B12" s="46" t="s">
        <v>157</v>
      </c>
      <c r="C12" s="46" t="s">
        <v>33</v>
      </c>
      <c r="D12" s="47" t="s">
        <v>56</v>
      </c>
      <c r="E12" s="47" t="s">
        <v>57</v>
      </c>
      <c r="F12" s="48"/>
      <c r="G12" s="48"/>
      <c r="H12" s="48"/>
      <c r="I12" s="48">
        <f>'ADDITIONAL statistics for SDGs'!B3</f>
        <v>0</v>
      </c>
      <c r="J12" s="48">
        <f>'ADDITIONAL statistics for SDGs'!C3</f>
        <v>0</v>
      </c>
      <c r="K12" s="48">
        <f>'ADDITIONAL statistics for SDGs'!D3</f>
        <v>0</v>
      </c>
      <c r="L12" s="49" t="e">
        <f>F12/I12</f>
        <v>#DIV/0!</v>
      </c>
      <c r="M12" s="49" t="e">
        <f t="shared" si="2"/>
        <v>#DIV/0!</v>
      </c>
      <c r="N12" s="49" t="e">
        <f t="shared" si="3"/>
        <v>#DIV/0!</v>
      </c>
    </row>
    <row r="13" spans="1:14" ht="15.75" thickTop="1" x14ac:dyDescent="0.25">
      <c r="A13" s="55" t="s">
        <v>43</v>
      </c>
      <c r="B13" s="56"/>
      <c r="C13" s="56"/>
      <c r="D13" s="56"/>
      <c r="E13" s="56"/>
      <c r="F13" s="57"/>
      <c r="G13" s="58"/>
      <c r="H13" s="58"/>
      <c r="I13" s="57"/>
      <c r="J13" s="57"/>
      <c r="K13" s="57"/>
      <c r="L13" s="36"/>
      <c r="M13" s="36"/>
      <c r="N13" s="36"/>
    </row>
    <row r="14" spans="1:14" ht="45" x14ac:dyDescent="0.25">
      <c r="A14" s="220" t="s">
        <v>170</v>
      </c>
      <c r="B14" s="9" t="s">
        <v>71</v>
      </c>
      <c r="C14" s="9" t="s">
        <v>72</v>
      </c>
      <c r="D14" s="9" t="s">
        <v>73</v>
      </c>
      <c r="E14" s="9" t="s">
        <v>74</v>
      </c>
      <c r="F14" s="35"/>
      <c r="G14" s="35"/>
      <c r="H14" s="35"/>
      <c r="I14" s="35">
        <f>'ADDITIONAL statistics for SDGs'!B6</f>
        <v>0</v>
      </c>
      <c r="J14" s="35">
        <f>'ADDITIONAL statistics for SDGs'!C6</f>
        <v>0</v>
      </c>
      <c r="K14" s="35">
        <f>'ADDITIONAL statistics for SDGs'!D6</f>
        <v>0</v>
      </c>
      <c r="L14" s="38" t="e">
        <f t="shared" si="1"/>
        <v>#DIV/0!</v>
      </c>
      <c r="M14" s="38" t="e">
        <f t="shared" si="2"/>
        <v>#DIV/0!</v>
      </c>
      <c r="N14" s="38" t="e">
        <f t="shared" si="3"/>
        <v>#DIV/0!</v>
      </c>
    </row>
    <row r="15" spans="1:14" ht="45" x14ac:dyDescent="0.25">
      <c r="A15" s="220"/>
      <c r="B15" s="9" t="s">
        <v>163</v>
      </c>
      <c r="C15" s="9" t="s">
        <v>75</v>
      </c>
      <c r="D15" s="9" t="s">
        <v>76</v>
      </c>
      <c r="E15" s="9" t="s">
        <v>166</v>
      </c>
      <c r="F15" s="35"/>
      <c r="G15" s="35"/>
      <c r="H15" s="35"/>
      <c r="I15" s="35">
        <f>'ADDITIONAL statistics for SDGs'!B6</f>
        <v>0</v>
      </c>
      <c r="J15" s="35">
        <f>'ADDITIONAL statistics for SDGs'!C6</f>
        <v>0</v>
      </c>
      <c r="K15" s="35">
        <f>'ADDITIONAL statistics for SDGs'!D6</f>
        <v>0</v>
      </c>
      <c r="L15" s="38" t="e">
        <f>F15/I15</f>
        <v>#DIV/0!</v>
      </c>
      <c r="M15" s="38" t="e">
        <f t="shared" si="2"/>
        <v>#DIV/0!</v>
      </c>
      <c r="N15" s="38" t="e">
        <f t="shared" si="3"/>
        <v>#DIV/0!</v>
      </c>
    </row>
    <row r="16" spans="1:14" ht="30" x14ac:dyDescent="0.25">
      <c r="A16" s="220"/>
      <c r="B16" s="9" t="s">
        <v>77</v>
      </c>
      <c r="C16" s="9" t="s">
        <v>78</v>
      </c>
      <c r="D16" s="9" t="s">
        <v>79</v>
      </c>
      <c r="E16" s="8" t="s">
        <v>62</v>
      </c>
      <c r="F16" s="35"/>
      <c r="G16" s="37"/>
      <c r="H16" s="37"/>
      <c r="I16" s="35">
        <f>'ADDITIONAL statistics for SDGs'!B24</f>
        <v>0</v>
      </c>
      <c r="J16" s="35">
        <f>'ADDITIONAL statistics for SDGs'!C24</f>
        <v>0</v>
      </c>
      <c r="K16" s="35">
        <f>'ADDITIONAL statistics for SDGs'!D24</f>
        <v>0</v>
      </c>
      <c r="L16" s="38" t="e">
        <f t="shared" si="1"/>
        <v>#DIV/0!</v>
      </c>
      <c r="M16" s="38" t="e">
        <f t="shared" si="2"/>
        <v>#DIV/0!</v>
      </c>
      <c r="N16" s="38" t="e">
        <f t="shared" si="3"/>
        <v>#DIV/0!</v>
      </c>
    </row>
    <row r="17" spans="1:14" ht="30" x14ac:dyDescent="0.25">
      <c r="A17" s="220"/>
      <c r="B17" s="9" t="s">
        <v>164</v>
      </c>
      <c r="C17" s="9" t="s">
        <v>80</v>
      </c>
      <c r="D17" s="9" t="s">
        <v>81</v>
      </c>
      <c r="E17" s="8" t="s">
        <v>165</v>
      </c>
      <c r="F17" s="35"/>
      <c r="G17" s="35"/>
      <c r="H17" s="35"/>
      <c r="I17" s="35">
        <f>'ADDITIONAL statistics for SDGs'!B24</f>
        <v>0</v>
      </c>
      <c r="J17" s="35">
        <f>'ADDITIONAL statistics for SDGs'!C24</f>
        <v>0</v>
      </c>
      <c r="K17" s="35">
        <f>'ADDITIONAL statistics for SDGs'!D24</f>
        <v>0</v>
      </c>
      <c r="L17" s="38" t="e">
        <f>F17/I17</f>
        <v>#DIV/0!</v>
      </c>
      <c r="M17" s="38" t="e">
        <f t="shared" si="2"/>
        <v>#DIV/0!</v>
      </c>
      <c r="N17" s="38" t="e">
        <f t="shared" si="3"/>
        <v>#DIV/0!</v>
      </c>
    </row>
    <row r="18" spans="1:14" ht="30" x14ac:dyDescent="0.25">
      <c r="A18" s="220"/>
      <c r="B18" s="9" t="s">
        <v>82</v>
      </c>
      <c r="C18" s="9" t="s">
        <v>83</v>
      </c>
      <c r="D18" s="12" t="s">
        <v>84</v>
      </c>
      <c r="E18" s="8" t="s">
        <v>85</v>
      </c>
      <c r="F18" s="35"/>
      <c r="G18" s="37"/>
      <c r="H18" s="37"/>
      <c r="I18" s="41">
        <f>'ADDITIONAL statistics for SDGs'!B12</f>
        <v>0</v>
      </c>
      <c r="J18" s="41">
        <f>'ADDITIONAL statistics for SDGs'!C12</f>
        <v>0</v>
      </c>
      <c r="K18" s="41">
        <f>'ADDITIONAL statistics for SDGs'!D12</f>
        <v>0</v>
      </c>
      <c r="L18" s="38" t="e">
        <f t="shared" si="1"/>
        <v>#DIV/0!</v>
      </c>
      <c r="M18" s="38" t="e">
        <f t="shared" si="2"/>
        <v>#DIV/0!</v>
      </c>
      <c r="N18" s="38" t="e">
        <f t="shared" si="3"/>
        <v>#DIV/0!</v>
      </c>
    </row>
    <row r="19" spans="1:14" ht="30" x14ac:dyDescent="0.25">
      <c r="A19" s="220"/>
      <c r="B19" s="9" t="s">
        <v>86</v>
      </c>
      <c r="C19" s="9" t="s">
        <v>87</v>
      </c>
      <c r="D19" s="12" t="s">
        <v>88</v>
      </c>
      <c r="E19" s="8" t="s">
        <v>85</v>
      </c>
      <c r="F19" s="35"/>
      <c r="G19" s="35"/>
      <c r="H19" s="35"/>
      <c r="I19" s="41">
        <f>'ADDITIONAL statistics for SDGs'!B12</f>
        <v>0</v>
      </c>
      <c r="J19" s="41">
        <f>'ADDITIONAL statistics for SDGs'!C12</f>
        <v>0</v>
      </c>
      <c r="K19" s="41">
        <f>'ADDITIONAL statistics for SDGs'!D12</f>
        <v>0</v>
      </c>
      <c r="L19" s="38" t="e">
        <f t="shared" si="1"/>
        <v>#DIV/0!</v>
      </c>
      <c r="M19" s="38" t="e">
        <f t="shared" si="2"/>
        <v>#DIV/0!</v>
      </c>
      <c r="N19" s="38" t="e">
        <f t="shared" si="3"/>
        <v>#DIV/0!</v>
      </c>
    </row>
    <row r="20" spans="1:14" ht="30" x14ac:dyDescent="0.25">
      <c r="A20" s="220"/>
      <c r="B20" s="9" t="s">
        <v>146</v>
      </c>
      <c r="C20" s="9" t="s">
        <v>149</v>
      </c>
      <c r="D20" s="12" t="s">
        <v>148</v>
      </c>
      <c r="E20" s="8" t="s">
        <v>85</v>
      </c>
      <c r="F20" s="35"/>
      <c r="G20" s="35"/>
      <c r="H20" s="35"/>
      <c r="I20" s="41">
        <f>'ADDITIONAL statistics for SDGs'!B12</f>
        <v>0</v>
      </c>
      <c r="J20" s="41">
        <f>'ADDITIONAL statistics for SDGs'!C12</f>
        <v>0</v>
      </c>
      <c r="K20" s="41">
        <f>'ADDITIONAL statistics for SDGs'!D12</f>
        <v>0</v>
      </c>
      <c r="L20" s="38" t="e">
        <f t="shared" si="1"/>
        <v>#DIV/0!</v>
      </c>
      <c r="M20" s="38" t="e">
        <f t="shared" si="2"/>
        <v>#DIV/0!</v>
      </c>
      <c r="N20" s="38" t="e">
        <f t="shared" si="3"/>
        <v>#DIV/0!</v>
      </c>
    </row>
    <row r="21" spans="1:14" ht="30" x14ac:dyDescent="0.25">
      <c r="A21" s="220"/>
      <c r="B21" s="9" t="s">
        <v>89</v>
      </c>
      <c r="C21" s="9" t="s">
        <v>90</v>
      </c>
      <c r="D21" s="9" t="s">
        <v>91</v>
      </c>
      <c r="E21" s="9" t="s">
        <v>92</v>
      </c>
      <c r="F21" s="35"/>
      <c r="G21" s="37"/>
      <c r="H21" s="37"/>
      <c r="I21" s="35">
        <f>'ADDITIONAL statistics for SDGs'!B21</f>
        <v>0</v>
      </c>
      <c r="J21" s="35">
        <f>'ADDITIONAL statistics for SDGs'!C21</f>
        <v>0</v>
      </c>
      <c r="K21" s="35">
        <f>'ADDITIONAL statistics for SDGs'!D21</f>
        <v>0</v>
      </c>
      <c r="L21" s="38" t="e">
        <f t="shared" si="1"/>
        <v>#DIV/0!</v>
      </c>
      <c r="M21" s="38" t="e">
        <f t="shared" si="2"/>
        <v>#DIV/0!</v>
      </c>
      <c r="N21" s="38" t="e">
        <f t="shared" si="3"/>
        <v>#DIV/0!</v>
      </c>
    </row>
    <row r="22" spans="1:14" ht="30" x14ac:dyDescent="0.25">
      <c r="A22" s="220"/>
      <c r="B22" s="9" t="s">
        <v>93</v>
      </c>
      <c r="C22" s="9" t="s">
        <v>94</v>
      </c>
      <c r="D22" s="9" t="s">
        <v>95</v>
      </c>
      <c r="E22" s="8" t="s">
        <v>150</v>
      </c>
      <c r="F22" s="35"/>
      <c r="G22" s="35"/>
      <c r="H22" s="35"/>
      <c r="I22" s="35">
        <f>'ADDITIONAL statistics for SDGs'!B20</f>
        <v>0</v>
      </c>
      <c r="J22" s="35">
        <f>'ADDITIONAL statistics for SDGs'!C20</f>
        <v>0</v>
      </c>
      <c r="K22" s="35">
        <f>'ADDITIONAL statistics for SDGs'!D20</f>
        <v>0</v>
      </c>
      <c r="L22" s="38" t="e">
        <f t="shared" si="1"/>
        <v>#DIV/0!</v>
      </c>
      <c r="M22" s="38" t="e">
        <f t="shared" si="2"/>
        <v>#DIV/0!</v>
      </c>
      <c r="N22" s="38" t="e">
        <f t="shared" si="3"/>
        <v>#DIV/0!</v>
      </c>
    </row>
    <row r="23" spans="1:14" ht="30" x14ac:dyDescent="0.25">
      <c r="A23" s="220"/>
      <c r="B23" s="9" t="s">
        <v>96</v>
      </c>
      <c r="C23" s="9" t="s">
        <v>97</v>
      </c>
      <c r="D23" s="9" t="s">
        <v>98</v>
      </c>
      <c r="E23" s="9" t="s">
        <v>99</v>
      </c>
      <c r="F23" s="35"/>
      <c r="G23" s="35"/>
      <c r="H23" s="35"/>
      <c r="I23" s="35">
        <f>'ADDITIONAL statistics for SDGs'!B4</f>
        <v>0</v>
      </c>
      <c r="J23" s="35">
        <f>'ADDITIONAL statistics for SDGs'!C4</f>
        <v>0</v>
      </c>
      <c r="K23" s="35">
        <f>'ADDITIONAL statistics for SDGs'!D4</f>
        <v>0</v>
      </c>
      <c r="L23" s="38" t="e">
        <f t="shared" si="1"/>
        <v>#DIV/0!</v>
      </c>
      <c r="M23" s="38" t="e">
        <f t="shared" si="2"/>
        <v>#DIV/0!</v>
      </c>
      <c r="N23" s="38" t="e">
        <f t="shared" si="3"/>
        <v>#DIV/0!</v>
      </c>
    </row>
    <row r="24" spans="1:14" ht="30" x14ac:dyDescent="0.25">
      <c r="A24" s="220"/>
      <c r="B24" s="9" t="s">
        <v>100</v>
      </c>
      <c r="C24" s="9" t="s">
        <v>101</v>
      </c>
      <c r="D24" s="9" t="s">
        <v>98</v>
      </c>
      <c r="E24" s="9" t="s">
        <v>102</v>
      </c>
      <c r="F24" s="35"/>
      <c r="G24" s="35"/>
      <c r="H24" s="35"/>
      <c r="I24" s="35" t="e">
        <f>'ADDITIONAL statistics for SDGs'!B4*#REF!</f>
        <v>#REF!</v>
      </c>
      <c r="J24" s="35" t="e">
        <f>'ADDITIONAL statistics for SDGs'!C4*#REF!</f>
        <v>#REF!</v>
      </c>
      <c r="K24" s="35" t="e">
        <f>'ADDITIONAL statistics for SDGs'!D4*#REF!</f>
        <v>#REF!</v>
      </c>
      <c r="L24" s="38" t="e">
        <f t="shared" si="1"/>
        <v>#REF!</v>
      </c>
      <c r="M24" s="38" t="e">
        <f t="shared" si="2"/>
        <v>#REF!</v>
      </c>
      <c r="N24" s="38" t="e">
        <f t="shared" si="3"/>
        <v>#REF!</v>
      </c>
    </row>
    <row r="25" spans="1:14" ht="30" x14ac:dyDescent="0.25">
      <c r="A25" s="220"/>
      <c r="B25" s="9" t="s">
        <v>103</v>
      </c>
      <c r="C25" s="9" t="s">
        <v>104</v>
      </c>
      <c r="D25" s="9" t="s">
        <v>105</v>
      </c>
      <c r="E25" s="8" t="s">
        <v>57</v>
      </c>
      <c r="F25" s="35"/>
      <c r="G25" s="35"/>
      <c r="H25" s="35"/>
      <c r="I25" s="35">
        <f>'ADDITIONAL statistics for SDGs'!B9</f>
        <v>0</v>
      </c>
      <c r="J25" s="35">
        <f>'ADDITIONAL statistics for SDGs'!C9</f>
        <v>0</v>
      </c>
      <c r="K25" s="35">
        <f>'ADDITIONAL statistics for SDGs'!D9</f>
        <v>0</v>
      </c>
      <c r="L25" s="38" t="e">
        <f t="shared" si="1"/>
        <v>#DIV/0!</v>
      </c>
      <c r="M25" s="38" t="e">
        <f t="shared" si="2"/>
        <v>#DIV/0!</v>
      </c>
      <c r="N25" s="38" t="e">
        <f t="shared" si="3"/>
        <v>#DIV/0!</v>
      </c>
    </row>
    <row r="26" spans="1:14" ht="45" x14ac:dyDescent="0.25">
      <c r="A26" s="220"/>
      <c r="B26" s="9" t="s">
        <v>106</v>
      </c>
      <c r="C26" s="9" t="s">
        <v>107</v>
      </c>
      <c r="D26" s="9" t="s">
        <v>108</v>
      </c>
      <c r="E26" s="9" t="s">
        <v>74</v>
      </c>
      <c r="F26" s="35"/>
      <c r="G26" s="35"/>
      <c r="H26" s="35"/>
      <c r="I26" s="35">
        <f>'ADDITIONAL statistics for SDGs'!B6</f>
        <v>0</v>
      </c>
      <c r="J26" s="35">
        <f>'ADDITIONAL statistics for SDGs'!C6</f>
        <v>0</v>
      </c>
      <c r="K26" s="35">
        <f>'ADDITIONAL statistics for SDGs'!D6</f>
        <v>0</v>
      </c>
      <c r="L26" s="38" t="e">
        <f t="shared" si="1"/>
        <v>#DIV/0!</v>
      </c>
      <c r="M26" s="38" t="e">
        <f t="shared" si="2"/>
        <v>#DIV/0!</v>
      </c>
      <c r="N26" s="38" t="e">
        <f t="shared" si="3"/>
        <v>#DIV/0!</v>
      </c>
    </row>
    <row r="27" spans="1:14" ht="30" x14ac:dyDescent="0.25">
      <c r="A27" s="220"/>
      <c r="B27" s="9" t="s">
        <v>109</v>
      </c>
      <c r="C27" s="9" t="s">
        <v>110</v>
      </c>
      <c r="D27" s="9" t="s">
        <v>111</v>
      </c>
      <c r="E27" s="8" t="s">
        <v>65</v>
      </c>
      <c r="F27" s="35"/>
      <c r="G27" s="37"/>
      <c r="H27" s="37"/>
      <c r="I27" s="35">
        <f>'ADDITIONAL statistics for SDGs'!B27</f>
        <v>0</v>
      </c>
      <c r="J27" s="35">
        <f>'ADDITIONAL statistics for SDGs'!C27</f>
        <v>0</v>
      </c>
      <c r="K27" s="35">
        <f>'ADDITIONAL statistics for SDGs'!D27</f>
        <v>0</v>
      </c>
      <c r="L27" s="38" t="e">
        <f t="shared" si="1"/>
        <v>#DIV/0!</v>
      </c>
      <c r="M27" s="38"/>
      <c r="N27" s="38" t="e">
        <f t="shared" si="3"/>
        <v>#DIV/0!</v>
      </c>
    </row>
    <row r="28" spans="1:14" ht="30.75" thickBot="1" x14ac:dyDescent="0.3">
      <c r="A28" s="221"/>
      <c r="B28" s="62" t="s">
        <v>167</v>
      </c>
      <c r="C28" s="62" t="s">
        <v>112</v>
      </c>
      <c r="D28" s="62" t="s">
        <v>113</v>
      </c>
      <c r="E28" s="47" t="s">
        <v>114</v>
      </c>
      <c r="F28" s="48"/>
      <c r="G28" s="48"/>
      <c r="H28" s="48"/>
      <c r="I28" s="48" t="e">
        <f>#REF!</f>
        <v>#REF!</v>
      </c>
      <c r="J28" s="48" t="e">
        <f>#REF!</f>
        <v>#REF!</v>
      </c>
      <c r="K28" s="48" t="e">
        <f>#REF!</f>
        <v>#REF!</v>
      </c>
      <c r="L28" s="49" t="e">
        <f t="shared" si="1"/>
        <v>#REF!</v>
      </c>
      <c r="M28" s="49" t="e">
        <f t="shared" si="2"/>
        <v>#REF!</v>
      </c>
      <c r="N28" s="49" t="e">
        <f t="shared" si="3"/>
        <v>#REF!</v>
      </c>
    </row>
    <row r="29" spans="1:14" ht="15.75" thickTop="1" x14ac:dyDescent="0.25">
      <c r="A29" s="56"/>
      <c r="B29" s="45"/>
      <c r="C29" s="45"/>
      <c r="D29" s="45"/>
      <c r="E29" s="45"/>
      <c r="F29" s="59"/>
      <c r="G29" s="60"/>
      <c r="H29" s="60"/>
      <c r="I29" s="57"/>
      <c r="J29" s="57"/>
      <c r="K29" s="57"/>
      <c r="L29" s="61"/>
      <c r="M29" s="61"/>
      <c r="N29" s="61"/>
    </row>
    <row r="30" spans="1:14" ht="30" x14ac:dyDescent="0.25">
      <c r="A30" s="220" t="s">
        <v>115</v>
      </c>
      <c r="B30" s="9" t="s">
        <v>116</v>
      </c>
      <c r="C30" s="222" t="s">
        <v>117</v>
      </c>
      <c r="D30" s="9"/>
      <c r="E30" s="9"/>
      <c r="F30" s="42"/>
      <c r="G30" s="43"/>
      <c r="H30" s="43"/>
      <c r="I30" s="40"/>
      <c r="J30" s="40"/>
      <c r="K30" s="40"/>
      <c r="L30" s="44"/>
      <c r="M30" s="44"/>
      <c r="N30" s="44"/>
    </row>
    <row r="31" spans="1:14" x14ac:dyDescent="0.25">
      <c r="A31" s="220"/>
      <c r="B31" s="10" t="s">
        <v>1</v>
      </c>
      <c r="C31" s="222"/>
      <c r="D31" s="9" t="s">
        <v>118</v>
      </c>
      <c r="E31" s="9" t="s">
        <v>119</v>
      </c>
      <c r="F31" s="42"/>
      <c r="G31" s="42"/>
      <c r="H31" s="42"/>
      <c r="I31" s="42">
        <f>'ADDITIONAL statistics for SDGs'!$B$31</f>
        <v>0</v>
      </c>
      <c r="J31" s="42"/>
      <c r="K31" s="42"/>
      <c r="L31" s="44" t="e">
        <f t="shared" ref="L31:L39" si="4">F31/I31</f>
        <v>#DIV/0!</v>
      </c>
      <c r="M31" s="42"/>
      <c r="N31" s="42"/>
    </row>
    <row r="32" spans="1:14" x14ac:dyDescent="0.25">
      <c r="A32" s="220"/>
      <c r="B32" s="10" t="s">
        <v>2</v>
      </c>
      <c r="C32" s="222"/>
      <c r="D32" s="9" t="s">
        <v>120</v>
      </c>
      <c r="E32" s="9" t="s">
        <v>119</v>
      </c>
      <c r="F32" s="42"/>
      <c r="G32" s="42"/>
      <c r="H32" s="42"/>
      <c r="I32" s="42">
        <f>'ADDITIONAL statistics for SDGs'!$B$31</f>
        <v>0</v>
      </c>
      <c r="J32" s="42"/>
      <c r="K32" s="42"/>
      <c r="L32" s="44" t="e">
        <f t="shared" si="4"/>
        <v>#DIV/0!</v>
      </c>
      <c r="M32" s="42"/>
      <c r="N32" s="42"/>
    </row>
    <row r="33" spans="1:14" x14ac:dyDescent="0.25">
      <c r="A33" s="220"/>
      <c r="B33" s="10" t="s">
        <v>8</v>
      </c>
      <c r="C33" s="222"/>
      <c r="D33" s="9" t="s">
        <v>121</v>
      </c>
      <c r="E33" s="9" t="s">
        <v>119</v>
      </c>
      <c r="F33" s="42"/>
      <c r="G33" s="42"/>
      <c r="H33" s="42"/>
      <c r="I33" s="42">
        <f>'ADDITIONAL statistics for SDGs'!$B$31</f>
        <v>0</v>
      </c>
      <c r="J33" s="42"/>
      <c r="K33" s="42"/>
      <c r="L33" s="44" t="e">
        <f t="shared" si="4"/>
        <v>#DIV/0!</v>
      </c>
      <c r="M33" s="42"/>
      <c r="N33" s="42"/>
    </row>
    <row r="34" spans="1:14" x14ac:dyDescent="0.25">
      <c r="A34" s="220"/>
      <c r="B34" s="10" t="s">
        <v>3</v>
      </c>
      <c r="C34" s="222"/>
      <c r="D34" s="9" t="s">
        <v>122</v>
      </c>
      <c r="E34" s="9" t="s">
        <v>119</v>
      </c>
      <c r="F34" s="42"/>
      <c r="G34" s="42"/>
      <c r="H34" s="42"/>
      <c r="I34" s="42">
        <f>'ADDITIONAL statistics for SDGs'!$B$31</f>
        <v>0</v>
      </c>
      <c r="J34" s="42"/>
      <c r="K34" s="42"/>
      <c r="L34" s="44" t="e">
        <f t="shared" si="4"/>
        <v>#DIV/0!</v>
      </c>
      <c r="M34" s="42"/>
      <c r="N34" s="42"/>
    </row>
    <row r="35" spans="1:14" ht="30" x14ac:dyDescent="0.25">
      <c r="A35" s="220"/>
      <c r="B35" s="9" t="s">
        <v>123</v>
      </c>
      <c r="C35" s="224" t="s">
        <v>124</v>
      </c>
      <c r="D35" s="9"/>
      <c r="E35" s="9"/>
      <c r="F35" s="42"/>
      <c r="G35" s="42"/>
      <c r="H35" s="42"/>
      <c r="I35" s="42"/>
      <c r="J35" s="42"/>
      <c r="K35" s="42"/>
      <c r="L35" s="44"/>
      <c r="M35" s="42"/>
      <c r="N35" s="42"/>
    </row>
    <row r="36" spans="1:14" x14ac:dyDescent="0.25">
      <c r="A36" s="220"/>
      <c r="B36" s="10" t="s">
        <v>1</v>
      </c>
      <c r="C36" s="225"/>
      <c r="D36" s="9" t="s">
        <v>125</v>
      </c>
      <c r="E36" s="9" t="s">
        <v>126</v>
      </c>
      <c r="F36" s="42"/>
      <c r="G36" s="43"/>
      <c r="H36" s="43"/>
      <c r="I36" s="43">
        <f>'ADDITIONAL statistics for SDGs'!$B$30</f>
        <v>0</v>
      </c>
      <c r="J36" s="43"/>
      <c r="K36" s="43"/>
      <c r="L36" s="44" t="e">
        <f t="shared" si="4"/>
        <v>#DIV/0!</v>
      </c>
      <c r="M36" s="43"/>
      <c r="N36" s="43"/>
    </row>
    <row r="37" spans="1:14" x14ac:dyDescent="0.25">
      <c r="A37" s="220"/>
      <c r="B37" s="10" t="s">
        <v>2</v>
      </c>
      <c r="C37" s="225"/>
      <c r="D37" s="9" t="s">
        <v>127</v>
      </c>
      <c r="E37" s="9" t="s">
        <v>126</v>
      </c>
      <c r="F37" s="42"/>
      <c r="G37" s="43"/>
      <c r="H37" s="43"/>
      <c r="I37" s="43">
        <f>'ADDITIONAL statistics for SDGs'!B30</f>
        <v>0</v>
      </c>
      <c r="J37" s="43"/>
      <c r="K37" s="43"/>
      <c r="L37" s="44" t="e">
        <f t="shared" si="4"/>
        <v>#DIV/0!</v>
      </c>
      <c r="M37" s="43"/>
      <c r="N37" s="43"/>
    </row>
    <row r="38" spans="1:14" x14ac:dyDescent="0.25">
      <c r="A38" s="220"/>
      <c r="B38" s="10" t="s">
        <v>8</v>
      </c>
      <c r="C38" s="225"/>
      <c r="D38" s="9" t="s">
        <v>128</v>
      </c>
      <c r="E38" s="9" t="s">
        <v>126</v>
      </c>
      <c r="F38" s="42"/>
      <c r="G38" s="43"/>
      <c r="H38" s="43"/>
      <c r="I38" s="43">
        <f>'ADDITIONAL statistics for SDGs'!B30</f>
        <v>0</v>
      </c>
      <c r="J38" s="43"/>
      <c r="K38" s="43"/>
      <c r="L38" s="44" t="e">
        <f t="shared" si="4"/>
        <v>#DIV/0!</v>
      </c>
      <c r="M38" s="43"/>
      <c r="N38" s="43"/>
    </row>
    <row r="39" spans="1:14" x14ac:dyDescent="0.25">
      <c r="A39" s="220"/>
      <c r="B39" s="10" t="s">
        <v>3</v>
      </c>
      <c r="C39" s="225"/>
      <c r="D39" s="9" t="s">
        <v>129</v>
      </c>
      <c r="E39" s="9" t="s">
        <v>126</v>
      </c>
      <c r="F39" s="42"/>
      <c r="G39" s="43"/>
      <c r="H39" s="43"/>
      <c r="I39" s="43">
        <f>'ADDITIONAL statistics for SDGs'!B30</f>
        <v>0</v>
      </c>
      <c r="J39" s="43"/>
      <c r="K39" s="43"/>
      <c r="L39" s="44" t="e">
        <f t="shared" si="4"/>
        <v>#DIV/0!</v>
      </c>
      <c r="M39" s="43"/>
      <c r="N39" s="43"/>
    </row>
    <row r="40" spans="1:14" x14ac:dyDescent="0.25">
      <c r="A40" s="220"/>
      <c r="B40" s="3"/>
      <c r="C40" s="226"/>
      <c r="D40" s="9"/>
      <c r="E40" s="9"/>
      <c r="F40" s="42"/>
      <c r="G40" s="43"/>
      <c r="H40" s="43"/>
      <c r="I40" s="43"/>
      <c r="J40" s="43"/>
      <c r="K40" s="43"/>
      <c r="L40" s="44"/>
      <c r="M40" s="43"/>
      <c r="N40" s="43"/>
    </row>
    <row r="41" spans="1:14" ht="30" x14ac:dyDescent="0.25">
      <c r="A41" s="220"/>
      <c r="B41" s="9" t="s">
        <v>130</v>
      </c>
      <c r="C41" s="222" t="s">
        <v>168</v>
      </c>
      <c r="D41" s="9"/>
      <c r="E41" s="9"/>
      <c r="F41" s="42"/>
      <c r="G41" s="43"/>
      <c r="H41" s="43"/>
      <c r="I41" s="43"/>
      <c r="J41" s="43"/>
      <c r="K41" s="43"/>
      <c r="L41" s="44"/>
      <c r="M41" s="43"/>
      <c r="N41" s="43"/>
    </row>
    <row r="42" spans="1:14" x14ac:dyDescent="0.25">
      <c r="A42" s="220"/>
      <c r="B42" s="10" t="s">
        <v>1</v>
      </c>
      <c r="C42" s="222"/>
      <c r="D42" s="9" t="s">
        <v>131</v>
      </c>
      <c r="E42" s="9" t="s">
        <v>132</v>
      </c>
      <c r="F42" s="42"/>
      <c r="G42" s="43"/>
      <c r="H42" s="43"/>
      <c r="I42" s="43" t="e">
        <f>#REF!</f>
        <v>#REF!</v>
      </c>
      <c r="J42" s="43"/>
      <c r="K42" s="43"/>
      <c r="L42" s="44" t="e">
        <f>F42/I42</f>
        <v>#REF!</v>
      </c>
      <c r="M42" s="43"/>
      <c r="N42" s="43"/>
    </row>
    <row r="43" spans="1:14" ht="30" x14ac:dyDescent="0.25">
      <c r="A43" s="220"/>
      <c r="B43" s="10" t="s">
        <v>2</v>
      </c>
      <c r="C43" s="222"/>
      <c r="D43" s="9" t="s">
        <v>133</v>
      </c>
      <c r="E43" s="9" t="s">
        <v>134</v>
      </c>
      <c r="F43" s="42"/>
      <c r="G43" s="43"/>
      <c r="H43" s="43"/>
      <c r="I43" s="43" t="e">
        <f>#REF!</f>
        <v>#REF!</v>
      </c>
      <c r="J43" s="43"/>
      <c r="K43" s="43"/>
      <c r="L43" s="44" t="e">
        <f t="shared" ref="L43:L50" si="5">F43/I43</f>
        <v>#REF!</v>
      </c>
      <c r="M43" s="43"/>
      <c r="N43" s="43"/>
    </row>
    <row r="44" spans="1:14" ht="30" x14ac:dyDescent="0.25">
      <c r="A44" s="220"/>
      <c r="B44" s="10" t="s">
        <v>13</v>
      </c>
      <c r="C44" s="222"/>
      <c r="D44" s="9" t="s">
        <v>135</v>
      </c>
      <c r="E44" s="9" t="s">
        <v>136</v>
      </c>
      <c r="F44" s="42"/>
      <c r="G44" s="43"/>
      <c r="H44" s="43"/>
      <c r="I44" s="43" t="e">
        <f>#REF!</f>
        <v>#REF!</v>
      </c>
      <c r="J44" s="43"/>
      <c r="K44" s="43"/>
      <c r="L44" s="44" t="e">
        <f t="shared" si="5"/>
        <v>#REF!</v>
      </c>
      <c r="M44" s="43"/>
      <c r="N44" s="43"/>
    </row>
    <row r="45" spans="1:14" ht="30" x14ac:dyDescent="0.25">
      <c r="A45" s="220"/>
      <c r="B45" s="10" t="s">
        <v>137</v>
      </c>
      <c r="C45" s="222"/>
      <c r="D45" s="9" t="s">
        <v>138</v>
      </c>
      <c r="E45" s="9" t="s">
        <v>134</v>
      </c>
      <c r="F45" s="42"/>
      <c r="G45" s="43"/>
      <c r="H45" s="43"/>
      <c r="I45" s="43" t="e">
        <f>#REF!</f>
        <v>#REF!</v>
      </c>
      <c r="J45" s="43"/>
      <c r="K45" s="43"/>
      <c r="L45" s="44" t="e">
        <f t="shared" si="5"/>
        <v>#REF!</v>
      </c>
      <c r="M45" s="43"/>
      <c r="N45" s="43"/>
    </row>
    <row r="46" spans="1:14" ht="30" x14ac:dyDescent="0.25">
      <c r="A46" s="220"/>
      <c r="B46" s="9" t="s">
        <v>139</v>
      </c>
      <c r="C46" s="222" t="s">
        <v>140</v>
      </c>
      <c r="D46" s="9"/>
      <c r="E46" s="9"/>
      <c r="F46" s="42"/>
      <c r="G46" s="43"/>
      <c r="H46" s="43"/>
      <c r="I46" s="43"/>
      <c r="J46" s="43"/>
      <c r="K46" s="43"/>
      <c r="L46" s="44"/>
      <c r="M46" s="43"/>
      <c r="N46" s="43"/>
    </row>
    <row r="47" spans="1:14" x14ac:dyDescent="0.25">
      <c r="A47" s="220"/>
      <c r="B47" s="10" t="s">
        <v>1</v>
      </c>
      <c r="C47" s="222"/>
      <c r="D47" s="9" t="s">
        <v>131</v>
      </c>
      <c r="E47" s="9" t="s">
        <v>141</v>
      </c>
      <c r="F47" s="42"/>
      <c r="G47" s="43"/>
      <c r="H47" s="43"/>
      <c r="I47" s="43" t="e">
        <f>#REF!</f>
        <v>#REF!</v>
      </c>
      <c r="J47" s="43"/>
      <c r="K47" s="43"/>
      <c r="L47" s="44" t="e">
        <f t="shared" si="5"/>
        <v>#REF!</v>
      </c>
      <c r="M47" s="43"/>
      <c r="N47" s="43"/>
    </row>
    <row r="48" spans="1:14" ht="30" x14ac:dyDescent="0.25">
      <c r="A48" s="220"/>
      <c r="B48" s="10" t="s">
        <v>2</v>
      </c>
      <c r="C48" s="222"/>
      <c r="D48" s="9" t="s">
        <v>133</v>
      </c>
      <c r="E48" s="9" t="s">
        <v>142</v>
      </c>
      <c r="F48" s="42"/>
      <c r="G48" s="43"/>
      <c r="H48" s="43"/>
      <c r="I48" s="43" t="e">
        <f>#REF!</f>
        <v>#REF!</v>
      </c>
      <c r="J48" s="43"/>
      <c r="K48" s="43"/>
      <c r="L48" s="44" t="e">
        <f t="shared" si="5"/>
        <v>#REF!</v>
      </c>
      <c r="M48" s="43"/>
      <c r="N48" s="43"/>
    </row>
    <row r="49" spans="1:14" x14ac:dyDescent="0.25">
      <c r="A49" s="220"/>
      <c r="B49" s="10" t="s">
        <v>13</v>
      </c>
      <c r="C49" s="222"/>
      <c r="D49" s="9" t="s">
        <v>135</v>
      </c>
      <c r="E49" s="9" t="s">
        <v>143</v>
      </c>
      <c r="F49" s="42"/>
      <c r="G49" s="43"/>
      <c r="H49" s="43"/>
      <c r="I49" s="43" t="e">
        <f>#REF!</f>
        <v>#REF!</v>
      </c>
      <c r="J49" s="43"/>
      <c r="K49" s="43"/>
      <c r="L49" s="44" t="e">
        <f t="shared" si="5"/>
        <v>#REF!</v>
      </c>
      <c r="M49" s="43"/>
      <c r="N49" s="43"/>
    </row>
    <row r="50" spans="1:14" ht="30" x14ac:dyDescent="0.25">
      <c r="A50" s="220"/>
      <c r="B50" s="10" t="s">
        <v>137</v>
      </c>
      <c r="C50" s="222"/>
      <c r="D50" s="9" t="s">
        <v>138</v>
      </c>
      <c r="E50" s="9" t="s">
        <v>144</v>
      </c>
      <c r="F50" s="42"/>
      <c r="G50" s="43"/>
      <c r="H50" s="43"/>
      <c r="I50" s="43" t="e">
        <f>#REF!</f>
        <v>#REF!</v>
      </c>
      <c r="J50" s="43"/>
      <c r="K50" s="43"/>
      <c r="L50" s="44" t="e">
        <f t="shared" si="5"/>
        <v>#REF!</v>
      </c>
      <c r="M50" s="43"/>
      <c r="N50" s="4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35</vt:i4>
      </vt:variant>
      <vt:variant>
        <vt:lpstr>Plages nommées</vt:lpstr>
      </vt:variant>
      <vt:variant>
        <vt:i4>2</vt:i4>
      </vt:variant>
    </vt:vector>
  </HeadingPairs>
  <TitlesOfParts>
    <vt:vector size="37" baseType="lpstr">
      <vt:lpstr>INSTRUCTIONS</vt:lpstr>
      <vt:lpstr>Inventaire des régimes</vt:lpstr>
      <vt:lpstr>CNSAP Régime de base</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Joseph MPANYA KANGODIE</cp:lastModifiedBy>
  <cp:lastPrinted>2023-11-14T08:04:18Z</cp:lastPrinted>
  <dcterms:created xsi:type="dcterms:W3CDTF">2018-04-19T13:37:25Z</dcterms:created>
  <dcterms:modified xsi:type="dcterms:W3CDTF">2024-01-18T15:16:44Z</dcterms:modified>
</cp:coreProperties>
</file>