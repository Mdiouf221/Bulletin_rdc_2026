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8" documentId="11_1EE5A56F0370C1EF4BCAB72F177E2E5245BB395C" xr6:coauthVersionLast="47" xr6:coauthVersionMax="47" xr10:uidLastSave="{44919A98-5631-40E2-BEC6-64B20619C671}"/>
  <bookViews>
    <workbookView xWindow="-108" yWindow="-108" windowWidth="23256" windowHeight="12456" activeTab="2" xr2:uid="{00000000-000D-0000-FFFF-FFFF00000000}"/>
  </bookViews>
  <sheets>
    <sheet name="INSTRUCTIONS" sheetId="38" r:id="rId1"/>
    <sheet name="Inventaire des régimes" sheetId="9" r:id="rId2"/>
    <sheet name="Régime 1"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<sst xmlns="http://schemas.openxmlformats.org/spreadsheetml/2006/main" count="383" uniqueCount="290">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</sst>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3" fontId="21" fillId="5" borderId="8" xfId="1" applyNumberFormat="1" applyFont="1" applyFill="1" applyBorder="1" applyAlignment="1" applyProtection="1">
      <alignmen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4">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workbookViewId="0">
      <pane xSplit="2" ySplit="5" topLeftCell="C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3" t="s">
        <v>282</v>
      </c>
      <c r="E1" s="175" t="s">
        <v>271</v>
      </c>
      <c r="F1" s="175"/>
      <c r="G1" s="175"/>
      <c r="H1" s="175"/>
      <c r="I1" s="175"/>
      <c r="J1" s="175"/>
      <c r="K1" s="175"/>
      <c r="L1" s="175"/>
      <c r="M1" s="175"/>
      <c r="N1" s="175"/>
      <c r="O1" s="175"/>
      <c r="P1" s="175"/>
      <c r="Q1" s="175"/>
      <c r="R1" s="175"/>
      <c r="S1" s="175"/>
      <c r="T1" s="175"/>
      <c r="U1" s="175"/>
      <c r="V1" s="175"/>
      <c r="W1" s="66"/>
      <c r="X1" s="66"/>
      <c r="Y1" s="66"/>
      <c r="Z1" s="66"/>
      <c r="AA1" s="66"/>
      <c r="AB1" s="66"/>
      <c r="AC1" s="59"/>
      <c r="AD1" s="59"/>
      <c r="AE1" s="59"/>
      <c r="AF1" s="79"/>
      <c r="AG1" s="59"/>
      <c r="AH1" s="59"/>
      <c r="AI1" s="59"/>
      <c r="AJ1" s="59"/>
    </row>
    <row r="2" spans="1:37" ht="14.4" x14ac:dyDescent="0.3">
      <c r="A2" s="76" t="s">
        <v>190</v>
      </c>
      <c r="B2" s="116">
        <v>2020</v>
      </c>
      <c r="C2" s="74" t="s">
        <v>176</v>
      </c>
      <c r="D2" s="152"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0" t="s">
        <v>194</v>
      </c>
      <c r="F4" s="170" t="s">
        <v>195</v>
      </c>
      <c r="G4" s="170" t="s">
        <v>196</v>
      </c>
      <c r="H4" s="170" t="s">
        <v>197</v>
      </c>
      <c r="I4" s="170" t="s">
        <v>198</v>
      </c>
      <c r="J4" s="170" t="s">
        <v>199</v>
      </c>
      <c r="K4" s="170" t="s">
        <v>200</v>
      </c>
      <c r="L4" s="170" t="s">
        <v>201</v>
      </c>
      <c r="M4" s="170" t="s">
        <v>202</v>
      </c>
      <c r="N4" s="170" t="s">
        <v>203</v>
      </c>
      <c r="O4" s="170" t="s">
        <v>204</v>
      </c>
      <c r="P4" s="170" t="s">
        <v>205</v>
      </c>
      <c r="Q4" s="170" t="s">
        <v>206</v>
      </c>
      <c r="R4" s="170" t="s">
        <v>207</v>
      </c>
      <c r="S4" s="170" t="s">
        <v>208</v>
      </c>
      <c r="T4" s="170" t="s">
        <v>209</v>
      </c>
      <c r="U4" s="170" t="s">
        <v>210</v>
      </c>
      <c r="V4" s="106" t="s">
        <v>211</v>
      </c>
      <c r="W4" s="107" t="s">
        <v>212</v>
      </c>
      <c r="X4" s="172" t="s">
        <v>213</v>
      </c>
      <c r="Y4" s="173"/>
      <c r="Z4" s="174"/>
      <c r="AA4" s="176" t="s">
        <v>228</v>
      </c>
      <c r="AB4" s="177"/>
      <c r="AC4" s="178"/>
      <c r="AD4" s="107" t="s">
        <v>214</v>
      </c>
      <c r="AE4" s="107" t="s">
        <v>215</v>
      </c>
      <c r="AF4" s="107" t="s">
        <v>216</v>
      </c>
      <c r="AG4" s="106" t="s">
        <v>217</v>
      </c>
      <c r="AH4" s="106" t="s">
        <v>218</v>
      </c>
      <c r="AI4" s="106" t="s">
        <v>219</v>
      </c>
      <c r="AJ4" s="105" t="s">
        <v>220</v>
      </c>
    </row>
    <row r="5" spans="1:37" ht="12.75" customHeight="1" x14ac:dyDescent="0.3">
      <c r="A5" s="108"/>
      <c r="B5" s="109"/>
      <c r="C5" s="110"/>
      <c r="D5" s="111"/>
      <c r="E5" s="171"/>
      <c r="F5" s="171"/>
      <c r="G5" s="171"/>
      <c r="H5" s="171"/>
      <c r="I5" s="171"/>
      <c r="J5" s="171"/>
      <c r="K5" s="171"/>
      <c r="L5" s="171"/>
      <c r="M5" s="171"/>
      <c r="N5" s="171"/>
      <c r="O5" s="171"/>
      <c r="P5" s="171"/>
      <c r="Q5" s="171"/>
      <c r="R5" s="171"/>
      <c r="S5" s="171"/>
      <c r="T5" s="171"/>
      <c r="U5" s="171"/>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51.80000000000001" x14ac:dyDescent="0.3">
      <c r="A6" s="129" t="s">
        <v>225</v>
      </c>
      <c r="B6" s="156" t="s">
        <v>289</v>
      </c>
      <c r="C6" s="156" t="s">
        <v>289</v>
      </c>
      <c r="D6" s="157" t="s">
        <v>283</v>
      </c>
      <c r="E6" s="157" t="s">
        <v>7</v>
      </c>
      <c r="F6" s="157" t="s">
        <v>7</v>
      </c>
      <c r="G6" s="157" t="s">
        <v>7</v>
      </c>
      <c r="H6" s="157"/>
      <c r="I6" s="157"/>
      <c r="J6" s="157"/>
      <c r="K6" s="157"/>
      <c r="L6" s="157"/>
      <c r="M6" s="157"/>
      <c r="N6" s="157"/>
      <c r="O6" s="157"/>
      <c r="P6" s="157"/>
      <c r="Q6" s="157"/>
      <c r="R6" s="157"/>
      <c r="S6" s="157"/>
      <c r="T6" s="157"/>
      <c r="U6" s="157"/>
      <c r="V6" s="157" t="s">
        <v>258</v>
      </c>
      <c r="W6" s="157" t="s">
        <v>264</v>
      </c>
      <c r="X6" s="163">
        <v>172304</v>
      </c>
      <c r="Y6" s="163">
        <v>110912</v>
      </c>
      <c r="Z6" s="163">
        <v>61392</v>
      </c>
      <c r="AA6" s="163">
        <v>814</v>
      </c>
      <c r="AB6" s="163">
        <v>666</v>
      </c>
      <c r="AC6" s="163">
        <v>148</v>
      </c>
      <c r="AD6" s="157" t="s">
        <v>267</v>
      </c>
      <c r="AE6" s="157" t="s">
        <v>267</v>
      </c>
      <c r="AF6" s="157" t="s">
        <v>269</v>
      </c>
      <c r="AG6" s="165">
        <v>7.2</v>
      </c>
      <c r="AH6" s="165">
        <v>5.6</v>
      </c>
      <c r="AI6" s="159">
        <v>40.5</v>
      </c>
      <c r="AJ6" s="164" t="s">
        <v>288</v>
      </c>
      <c r="AK6" s="80"/>
    </row>
    <row r="7" spans="1:37" s="80" customFormat="1" x14ac:dyDescent="0.3">
      <c r="A7" s="154" t="s">
        <v>226</v>
      </c>
      <c r="B7" s="155" t="s">
        <v>227</v>
      </c>
      <c r="C7" s="96"/>
      <c r="X7" s="97"/>
      <c r="Y7" s="97"/>
      <c r="Z7" s="97"/>
      <c r="AA7" s="97"/>
      <c r="AB7" s="167"/>
      <c r="AC7" s="160"/>
      <c r="AG7" s="158"/>
      <c r="AI7" s="162"/>
    </row>
    <row r="8" spans="1:37" s="60" customFormat="1" x14ac:dyDescent="0.3">
      <c r="A8" s="95"/>
      <c r="B8" s="93"/>
      <c r="C8" s="69"/>
      <c r="X8" s="94"/>
      <c r="Y8" s="94"/>
      <c r="Z8" s="94"/>
      <c r="AA8" s="94"/>
      <c r="AB8" s="161"/>
      <c r="AC8" s="168"/>
    </row>
    <row r="9" spans="1:37" s="58" customFormat="1" ht="135" customHeight="1" x14ac:dyDescent="0.3">
      <c r="A9" s="85" t="s">
        <v>12</v>
      </c>
      <c r="B9" s="77" t="s">
        <v>285</v>
      </c>
      <c r="C9" s="78" t="s">
        <v>14</v>
      </c>
      <c r="D9" s="77" t="s">
        <v>283</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13" priority="2">
      <formula>MOD(ROW(),2)=0</formula>
    </cfRule>
    <cfRule type="expression" dxfId="12" priority="27">
      <formula>MOD(ROW(),2)=1</formula>
    </cfRule>
  </conditionalFormatting>
  <conditionalFormatting sqref="W6:Z8">
    <cfRule type="expression" dxfId="11"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J9" sqref="J9"/>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0" t="s">
        <v>251</v>
      </c>
      <c r="J2" s="180"/>
      <c r="K2" s="180"/>
      <c r="L2" s="180"/>
      <c r="M2" s="180"/>
      <c r="N2" s="180"/>
      <c r="O2" s="181" t="s">
        <v>252</v>
      </c>
      <c r="P2" s="181"/>
      <c r="Q2" s="181"/>
      <c r="R2" s="181"/>
      <c r="S2" s="181"/>
      <c r="T2" s="179" t="s">
        <v>253</v>
      </c>
      <c r="U2" s="179"/>
      <c r="V2" s="179"/>
      <c r="W2" s="179"/>
      <c r="X2" s="179"/>
      <c r="Y2" s="179"/>
      <c r="Z2" s="68" t="s">
        <v>254</v>
      </c>
      <c r="AA2" s="65"/>
      <c r="AB2" s="65"/>
    </row>
    <row r="3" spans="1:28" ht="96.6" x14ac:dyDescent="0.3">
      <c r="A3" s="117" t="s">
        <v>229</v>
      </c>
      <c r="B3" s="105" t="s">
        <v>230</v>
      </c>
      <c r="C3" s="105" t="s">
        <v>231</v>
      </c>
      <c r="D3" s="105" t="s">
        <v>232</v>
      </c>
      <c r="E3" s="172" t="s">
        <v>250</v>
      </c>
      <c r="F3" s="173"/>
      <c r="G3" s="174"/>
      <c r="H3" s="105" t="s">
        <v>233</v>
      </c>
      <c r="I3" s="172" t="s">
        <v>234</v>
      </c>
      <c r="J3" s="173"/>
      <c r="K3" s="174"/>
      <c r="L3" s="176" t="s">
        <v>228</v>
      </c>
      <c r="M3" s="177"/>
      <c r="N3" s="178"/>
      <c r="O3" s="105" t="s">
        <v>235</v>
      </c>
      <c r="P3" s="105" t="s">
        <v>236</v>
      </c>
      <c r="Q3" s="105" t="s">
        <v>237</v>
      </c>
      <c r="R3" s="105" t="s">
        <v>238</v>
      </c>
      <c r="S3" s="105" t="s">
        <v>239</v>
      </c>
      <c r="T3" s="105" t="s">
        <v>240</v>
      </c>
      <c r="U3" s="105" t="s">
        <v>270</v>
      </c>
      <c r="V3" s="105" t="s">
        <v>241</v>
      </c>
      <c r="W3" s="172" t="s">
        <v>242</v>
      </c>
      <c r="X3" s="174"/>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69">
        <v>172304</v>
      </c>
      <c r="J5" s="169">
        <v>110912</v>
      </c>
      <c r="K5" s="169">
        <v>61392</v>
      </c>
      <c r="L5" s="163">
        <v>814</v>
      </c>
      <c r="M5" s="163">
        <v>666</v>
      </c>
      <c r="N5" s="163">
        <v>148</v>
      </c>
      <c r="O5" s="134" t="s">
        <v>265</v>
      </c>
      <c r="P5" s="135" t="s">
        <v>266</v>
      </c>
      <c r="Q5" s="134"/>
      <c r="R5" s="166">
        <v>160861.99840000001</v>
      </c>
      <c r="S5" s="134"/>
      <c r="T5" s="136" t="s">
        <v>286</v>
      </c>
      <c r="U5" s="136"/>
      <c r="V5" s="136"/>
      <c r="W5" s="142">
        <v>65</v>
      </c>
      <c r="X5" s="142">
        <v>65</v>
      </c>
      <c r="Y5" s="136" t="s">
        <v>287</v>
      </c>
      <c r="Z5" s="143">
        <v>7.2</v>
      </c>
      <c r="AA5" s="131"/>
      <c r="AB5" s="92"/>
    </row>
    <row r="6" spans="1:28" s="63" customFormat="1" ht="27.6" x14ac:dyDescent="0.3">
      <c r="A6" s="91" t="s">
        <v>256</v>
      </c>
      <c r="B6" s="137" t="s">
        <v>279</v>
      </c>
      <c r="C6" s="137" t="s">
        <v>279</v>
      </c>
      <c r="D6" s="139" t="s">
        <v>259</v>
      </c>
      <c r="E6" s="140" t="s">
        <v>260</v>
      </c>
      <c r="F6" s="141" t="s">
        <v>262</v>
      </c>
      <c r="G6" s="138" t="s">
        <v>263</v>
      </c>
      <c r="H6" s="138" t="s">
        <v>258</v>
      </c>
      <c r="I6" s="169">
        <v>172304</v>
      </c>
      <c r="J6" s="169">
        <v>110912</v>
      </c>
      <c r="K6" s="169">
        <v>61392</v>
      </c>
      <c r="L6" s="145">
        <v>50</v>
      </c>
      <c r="M6" s="145"/>
      <c r="N6" s="145"/>
      <c r="O6" s="135" t="s">
        <v>265</v>
      </c>
      <c r="P6" s="135" t="s">
        <v>266</v>
      </c>
      <c r="Q6" s="135"/>
      <c r="R6" s="166">
        <v>60366.984770000003</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69">
        <v>172304</v>
      </c>
      <c r="J7" s="169">
        <v>110912</v>
      </c>
      <c r="K7" s="169">
        <v>61392</v>
      </c>
      <c r="L7" s="145">
        <v>40</v>
      </c>
      <c r="M7" s="145"/>
      <c r="N7" s="145"/>
      <c r="O7" s="135" t="s">
        <v>265</v>
      </c>
      <c r="P7" s="135" t="s">
        <v>266</v>
      </c>
      <c r="Q7" s="135"/>
      <c r="R7" s="166">
        <v>5348.4315409999999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46" type="noConversion"/>
  <conditionalFormatting sqref="P5:Q7">
    <cfRule type="expression" dxfId="10" priority="24">
      <formula>$O5=#REF!</formula>
    </cfRule>
  </conditionalFormatting>
  <conditionalFormatting sqref="T5:T7 I5:K7">
    <cfRule type="expression" dxfId="9" priority="34">
      <formula>$H5=#REF!</formula>
    </cfRule>
  </conditionalFormatting>
  <conditionalFormatting sqref="U5:V7">
    <cfRule type="expression" dxfId="8" priority="36">
      <formula>$H5=#REF!</formula>
    </cfRule>
  </conditionalFormatting>
  <conditionalFormatting sqref="R5:R7">
    <cfRule type="expression" dxfId="7" priority="8">
      <formula>$O5=#REF!</formula>
    </cfRule>
  </conditionalFormatting>
  <conditionalFormatting sqref="W5:X7">
    <cfRule type="expression" dxfId="6" priority="7">
      <formula>$H5=#REF!</formula>
    </cfRule>
  </conditionalFormatting>
  <conditionalFormatting sqref="L5">
    <cfRule type="expression" dxfId="5" priority="5">
      <formula>MOD(ROW(),2)=0</formula>
    </cfRule>
    <cfRule type="expression" dxfId="4" priority="6">
      <formula>MOD(ROW(),2)=1</formula>
    </cfRule>
  </conditionalFormatting>
  <conditionalFormatting sqref="M5">
    <cfRule type="expression" dxfId="3" priority="3">
      <formula>MOD(ROW(),2)=0</formula>
    </cfRule>
    <cfRule type="expression" dxfId="2" priority="4">
      <formula>MOD(ROW(),2)=1</formula>
    </cfRule>
  </conditionalFormatting>
  <conditionalFormatting sqref="N5">
    <cfRule type="expression" dxfId="1" priority="1">
      <formula>MOD(ROW(),2)=0</formula>
    </cfRule>
    <cfRule type="expression" dxfId="0"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6" t="s">
        <v>273</v>
      </c>
      <c r="B9" s="147"/>
      <c r="C9" s="147"/>
      <c r="D9" s="148"/>
    </row>
    <row r="10" spans="1:4" x14ac:dyDescent="0.3">
      <c r="A10" s="149" t="s">
        <v>274</v>
      </c>
      <c r="B10" s="150"/>
      <c r="C10" s="150"/>
      <c r="D10" s="150"/>
    </row>
    <row r="11" spans="1:4" x14ac:dyDescent="0.3">
      <c r="A11" s="151" t="s">
        <v>0</v>
      </c>
      <c r="B11" s="9"/>
      <c r="C11" s="9"/>
      <c r="D11" s="9"/>
    </row>
    <row r="12" spans="1:4" x14ac:dyDescent="0.3">
      <c r="A12" s="151"/>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B3" sqref="B3"/>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2" t="s">
        <v>160</v>
      </c>
      <c r="G1" s="182"/>
      <c r="H1" s="182"/>
      <c r="I1" s="183" t="s">
        <v>161</v>
      </c>
      <c r="J1" s="183"/>
      <c r="K1" s="183"/>
      <c r="L1" s="184" t="s">
        <v>145</v>
      </c>
      <c r="M1" s="184"/>
      <c r="N1" s="184"/>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8" t="s">
        <v>158</v>
      </c>
      <c r="G3" s="188"/>
      <c r="H3" s="188"/>
      <c r="I3" s="42">
        <f>'ADDITIONAL statistics for SDGs'!B9</f>
        <v>0</v>
      </c>
      <c r="J3" s="43" t="s">
        <v>15</v>
      </c>
      <c r="K3" s="43" t="s">
        <v>15</v>
      </c>
      <c r="L3" s="44" t="e">
        <f>20294/I3</f>
        <v>#DIV/0!</v>
      </c>
      <c r="M3" s="43" t="s">
        <v>15</v>
      </c>
      <c r="N3" s="43" t="s">
        <v>15</v>
      </c>
    </row>
    <row r="4" spans="1:14" ht="43.2" x14ac:dyDescent="0.3">
      <c r="A4" s="185"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5"/>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5"/>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5"/>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5"/>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5"/>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5"/>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5"/>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6"/>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5"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5"/>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5"/>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5"/>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5"/>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5"/>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5"/>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5"/>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5"/>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5"/>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5"/>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5"/>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5"/>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5"/>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6"/>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5" t="s">
        <v>115</v>
      </c>
      <c r="B30" s="6" t="s">
        <v>116</v>
      </c>
      <c r="C30" s="187" t="s">
        <v>117</v>
      </c>
      <c r="D30" s="6"/>
      <c r="E30" s="6"/>
      <c r="F30" s="31"/>
      <c r="G30" s="33"/>
      <c r="H30" s="33"/>
      <c r="I30" s="31"/>
      <c r="J30" s="31"/>
      <c r="K30" s="31"/>
      <c r="L30" s="34"/>
      <c r="M30" s="34"/>
      <c r="N30" s="34"/>
    </row>
    <row r="31" spans="1:14" x14ac:dyDescent="0.3">
      <c r="A31" s="185"/>
      <c r="B31" s="7" t="s">
        <v>1</v>
      </c>
      <c r="C31" s="187"/>
      <c r="D31" s="6" t="s">
        <v>118</v>
      </c>
      <c r="E31" s="6" t="s">
        <v>119</v>
      </c>
      <c r="F31" s="31"/>
      <c r="G31" s="31"/>
      <c r="H31" s="31"/>
      <c r="I31" s="31">
        <f>'ADDITIONAL statistics for SDGs'!$B$31</f>
        <v>0</v>
      </c>
      <c r="J31" s="31"/>
      <c r="K31" s="31"/>
      <c r="L31" s="34" t="e">
        <f t="shared" ref="L31:L39" si="4">F31/I31</f>
        <v>#DIV/0!</v>
      </c>
      <c r="M31" s="31"/>
      <c r="N31" s="31"/>
    </row>
    <row r="32" spans="1:14" x14ac:dyDescent="0.3">
      <c r="A32" s="185"/>
      <c r="B32" s="7" t="s">
        <v>2</v>
      </c>
      <c r="C32" s="187"/>
      <c r="D32" s="6" t="s">
        <v>120</v>
      </c>
      <c r="E32" s="6" t="s">
        <v>119</v>
      </c>
      <c r="F32" s="31"/>
      <c r="G32" s="31"/>
      <c r="H32" s="31"/>
      <c r="I32" s="31">
        <f>'ADDITIONAL statistics for SDGs'!$B$31</f>
        <v>0</v>
      </c>
      <c r="J32" s="31"/>
      <c r="K32" s="31"/>
      <c r="L32" s="34" t="e">
        <f t="shared" si="4"/>
        <v>#DIV/0!</v>
      </c>
      <c r="M32" s="31"/>
      <c r="N32" s="31"/>
    </row>
    <row r="33" spans="1:14" x14ac:dyDescent="0.3">
      <c r="A33" s="185"/>
      <c r="B33" s="7" t="s">
        <v>8</v>
      </c>
      <c r="C33" s="187"/>
      <c r="D33" s="6" t="s">
        <v>121</v>
      </c>
      <c r="E33" s="6" t="s">
        <v>119</v>
      </c>
      <c r="F33" s="31"/>
      <c r="G33" s="31"/>
      <c r="H33" s="31"/>
      <c r="I33" s="31">
        <f>'ADDITIONAL statistics for SDGs'!$B$31</f>
        <v>0</v>
      </c>
      <c r="J33" s="31"/>
      <c r="K33" s="31"/>
      <c r="L33" s="34" t="e">
        <f t="shared" si="4"/>
        <v>#DIV/0!</v>
      </c>
      <c r="M33" s="31"/>
      <c r="N33" s="31"/>
    </row>
    <row r="34" spans="1:14" x14ac:dyDescent="0.3">
      <c r="A34" s="185"/>
      <c r="B34" s="7" t="s">
        <v>3</v>
      </c>
      <c r="C34" s="187"/>
      <c r="D34" s="6" t="s">
        <v>122</v>
      </c>
      <c r="E34" s="6" t="s">
        <v>119</v>
      </c>
      <c r="F34" s="31"/>
      <c r="G34" s="31"/>
      <c r="H34" s="31"/>
      <c r="I34" s="31">
        <f>'ADDITIONAL statistics for SDGs'!$B$31</f>
        <v>0</v>
      </c>
      <c r="J34" s="31"/>
      <c r="K34" s="31"/>
      <c r="L34" s="34" t="e">
        <f t="shared" si="4"/>
        <v>#DIV/0!</v>
      </c>
      <c r="M34" s="31"/>
      <c r="N34" s="31"/>
    </row>
    <row r="35" spans="1:14" ht="28.8" x14ac:dyDescent="0.3">
      <c r="A35" s="185"/>
      <c r="B35" s="6" t="s">
        <v>123</v>
      </c>
      <c r="C35" s="189" t="s">
        <v>124</v>
      </c>
      <c r="D35" s="6"/>
      <c r="E35" s="6"/>
      <c r="F35" s="31"/>
      <c r="G35" s="31"/>
      <c r="H35" s="31"/>
      <c r="I35" s="31"/>
      <c r="J35" s="31"/>
      <c r="K35" s="31"/>
      <c r="L35" s="34"/>
      <c r="M35" s="31"/>
      <c r="N35" s="31"/>
    </row>
    <row r="36" spans="1:14" x14ac:dyDescent="0.3">
      <c r="A36" s="185"/>
      <c r="B36" s="7" t="s">
        <v>1</v>
      </c>
      <c r="C36" s="190"/>
      <c r="D36" s="6" t="s">
        <v>125</v>
      </c>
      <c r="E36" s="6" t="s">
        <v>126</v>
      </c>
      <c r="F36" s="31"/>
      <c r="G36" s="33"/>
      <c r="H36" s="33"/>
      <c r="I36" s="33">
        <f>'ADDITIONAL statistics for SDGs'!$B$30</f>
        <v>0</v>
      </c>
      <c r="J36" s="33"/>
      <c r="K36" s="33"/>
      <c r="L36" s="34" t="e">
        <f t="shared" si="4"/>
        <v>#DIV/0!</v>
      </c>
      <c r="M36" s="33"/>
      <c r="N36" s="33"/>
    </row>
    <row r="37" spans="1:14" x14ac:dyDescent="0.3">
      <c r="A37" s="185"/>
      <c r="B37" s="7" t="s">
        <v>2</v>
      </c>
      <c r="C37" s="190"/>
      <c r="D37" s="6" t="s">
        <v>127</v>
      </c>
      <c r="E37" s="6" t="s">
        <v>126</v>
      </c>
      <c r="F37" s="31"/>
      <c r="G37" s="33"/>
      <c r="H37" s="33"/>
      <c r="I37" s="33">
        <f>'ADDITIONAL statistics for SDGs'!B30</f>
        <v>0</v>
      </c>
      <c r="J37" s="33"/>
      <c r="K37" s="33"/>
      <c r="L37" s="34" t="e">
        <f t="shared" si="4"/>
        <v>#DIV/0!</v>
      </c>
      <c r="M37" s="33"/>
      <c r="N37" s="33"/>
    </row>
    <row r="38" spans="1:14" x14ac:dyDescent="0.3">
      <c r="A38" s="185"/>
      <c r="B38" s="7" t="s">
        <v>8</v>
      </c>
      <c r="C38" s="190"/>
      <c r="D38" s="6" t="s">
        <v>128</v>
      </c>
      <c r="E38" s="6" t="s">
        <v>126</v>
      </c>
      <c r="F38" s="31"/>
      <c r="G38" s="33"/>
      <c r="H38" s="33"/>
      <c r="I38" s="33">
        <f>'ADDITIONAL statistics for SDGs'!B30</f>
        <v>0</v>
      </c>
      <c r="J38" s="33"/>
      <c r="K38" s="33"/>
      <c r="L38" s="34" t="e">
        <f t="shared" si="4"/>
        <v>#DIV/0!</v>
      </c>
      <c r="M38" s="33"/>
      <c r="N38" s="33"/>
    </row>
    <row r="39" spans="1:14" x14ac:dyDescent="0.3">
      <c r="A39" s="185"/>
      <c r="B39" s="7" t="s">
        <v>3</v>
      </c>
      <c r="C39" s="190"/>
      <c r="D39" s="6" t="s">
        <v>129</v>
      </c>
      <c r="E39" s="6" t="s">
        <v>126</v>
      </c>
      <c r="F39" s="31"/>
      <c r="G39" s="33"/>
      <c r="H39" s="33"/>
      <c r="I39" s="33">
        <f>'ADDITIONAL statistics for SDGs'!B30</f>
        <v>0</v>
      </c>
      <c r="J39" s="33"/>
      <c r="K39" s="33"/>
      <c r="L39" s="34" t="e">
        <f t="shared" si="4"/>
        <v>#DIV/0!</v>
      </c>
      <c r="M39" s="33"/>
      <c r="N39" s="33"/>
    </row>
    <row r="40" spans="1:14" x14ac:dyDescent="0.3">
      <c r="A40" s="185"/>
      <c r="C40" s="191"/>
      <c r="D40" s="6"/>
      <c r="E40" s="6"/>
      <c r="F40" s="31"/>
      <c r="G40" s="33"/>
      <c r="H40" s="33"/>
      <c r="I40" s="33"/>
      <c r="J40" s="33"/>
      <c r="K40" s="33"/>
      <c r="L40" s="34"/>
      <c r="M40" s="33"/>
      <c r="N40" s="33"/>
    </row>
    <row r="41" spans="1:14" ht="28.8" x14ac:dyDescent="0.3">
      <c r="A41" s="185"/>
      <c r="B41" s="6" t="s">
        <v>130</v>
      </c>
      <c r="C41" s="187" t="s">
        <v>168</v>
      </c>
      <c r="D41" s="6"/>
      <c r="E41" s="6"/>
      <c r="F41" s="31"/>
      <c r="G41" s="33"/>
      <c r="H41" s="33"/>
      <c r="I41" s="33"/>
      <c r="J41" s="33"/>
      <c r="K41" s="33"/>
      <c r="L41" s="34"/>
      <c r="M41" s="33"/>
      <c r="N41" s="33"/>
    </row>
    <row r="42" spans="1:14" x14ac:dyDescent="0.3">
      <c r="A42" s="185"/>
      <c r="B42" s="7" t="s">
        <v>1</v>
      </c>
      <c r="C42" s="187"/>
      <c r="D42" s="6" t="s">
        <v>131</v>
      </c>
      <c r="E42" s="6" t="s">
        <v>132</v>
      </c>
      <c r="F42" s="31"/>
      <c r="G42" s="33"/>
      <c r="H42" s="33"/>
      <c r="I42" s="33" t="e">
        <f>#REF!</f>
        <v>#REF!</v>
      </c>
      <c r="J42" s="33"/>
      <c r="K42" s="33"/>
      <c r="L42" s="34" t="e">
        <f>F42/I42</f>
        <v>#REF!</v>
      </c>
      <c r="M42" s="33"/>
      <c r="N42" s="33"/>
    </row>
    <row r="43" spans="1:14" x14ac:dyDescent="0.3">
      <c r="A43" s="185"/>
      <c r="B43" s="7" t="s">
        <v>2</v>
      </c>
      <c r="C43" s="187"/>
      <c r="D43" s="6" t="s">
        <v>133</v>
      </c>
      <c r="E43" s="6" t="s">
        <v>134</v>
      </c>
      <c r="F43" s="31"/>
      <c r="G43" s="33"/>
      <c r="H43" s="33"/>
      <c r="I43" s="33" t="e">
        <f>#REF!</f>
        <v>#REF!</v>
      </c>
      <c r="J43" s="33"/>
      <c r="K43" s="33"/>
      <c r="L43" s="34" t="e">
        <f t="shared" ref="L43:L50" si="5">F43/I43</f>
        <v>#REF!</v>
      </c>
      <c r="M43" s="33"/>
      <c r="N43" s="33"/>
    </row>
    <row r="44" spans="1:14" x14ac:dyDescent="0.3">
      <c r="A44" s="185"/>
      <c r="B44" s="7" t="s">
        <v>13</v>
      </c>
      <c r="C44" s="187"/>
      <c r="D44" s="6" t="s">
        <v>135</v>
      </c>
      <c r="E44" s="6" t="s">
        <v>136</v>
      </c>
      <c r="F44" s="31"/>
      <c r="G44" s="33"/>
      <c r="H44" s="33"/>
      <c r="I44" s="33" t="e">
        <f>#REF!</f>
        <v>#REF!</v>
      </c>
      <c r="J44" s="33"/>
      <c r="K44" s="33"/>
      <c r="L44" s="34" t="e">
        <f t="shared" si="5"/>
        <v>#REF!</v>
      </c>
      <c r="M44" s="33"/>
      <c r="N44" s="33"/>
    </row>
    <row r="45" spans="1:14" ht="28.8" x14ac:dyDescent="0.3">
      <c r="A45" s="185"/>
      <c r="B45" s="7" t="s">
        <v>137</v>
      </c>
      <c r="C45" s="187"/>
      <c r="D45" s="6" t="s">
        <v>138</v>
      </c>
      <c r="E45" s="6" t="s">
        <v>134</v>
      </c>
      <c r="F45" s="31"/>
      <c r="G45" s="33"/>
      <c r="H45" s="33"/>
      <c r="I45" s="33" t="e">
        <f>#REF!</f>
        <v>#REF!</v>
      </c>
      <c r="J45" s="33"/>
      <c r="K45" s="33"/>
      <c r="L45" s="34" t="e">
        <f t="shared" si="5"/>
        <v>#REF!</v>
      </c>
      <c r="M45" s="33"/>
      <c r="N45" s="33"/>
    </row>
    <row r="46" spans="1:14" ht="28.8" x14ac:dyDescent="0.3">
      <c r="A46" s="185"/>
      <c r="B46" s="6" t="s">
        <v>139</v>
      </c>
      <c r="C46" s="187" t="s">
        <v>140</v>
      </c>
      <c r="D46" s="6"/>
      <c r="E46" s="6"/>
      <c r="F46" s="31"/>
      <c r="G46" s="33"/>
      <c r="H46" s="33"/>
      <c r="I46" s="33"/>
      <c r="J46" s="33"/>
      <c r="K46" s="33"/>
      <c r="L46" s="34"/>
      <c r="M46" s="33"/>
      <c r="N46" s="33"/>
    </row>
    <row r="47" spans="1:14" x14ac:dyDescent="0.3">
      <c r="A47" s="185"/>
      <c r="B47" s="7" t="s">
        <v>1</v>
      </c>
      <c r="C47" s="187"/>
      <c r="D47" s="6" t="s">
        <v>131</v>
      </c>
      <c r="E47" s="6" t="s">
        <v>141</v>
      </c>
      <c r="F47" s="31"/>
      <c r="G47" s="33"/>
      <c r="H47" s="33"/>
      <c r="I47" s="33" t="e">
        <f>#REF!</f>
        <v>#REF!</v>
      </c>
      <c r="J47" s="33"/>
      <c r="K47" s="33"/>
      <c r="L47" s="34" t="e">
        <f t="shared" si="5"/>
        <v>#REF!</v>
      </c>
      <c r="M47" s="33"/>
      <c r="N47" s="33"/>
    </row>
    <row r="48" spans="1:14" x14ac:dyDescent="0.3">
      <c r="A48" s="185"/>
      <c r="B48" s="7" t="s">
        <v>2</v>
      </c>
      <c r="C48" s="187"/>
      <c r="D48" s="6" t="s">
        <v>133</v>
      </c>
      <c r="E48" s="6" t="s">
        <v>142</v>
      </c>
      <c r="F48" s="31"/>
      <c r="G48" s="33"/>
      <c r="H48" s="33"/>
      <c r="I48" s="33" t="e">
        <f>#REF!</f>
        <v>#REF!</v>
      </c>
      <c r="J48" s="33"/>
      <c r="K48" s="33"/>
      <c r="L48" s="34" t="e">
        <f t="shared" si="5"/>
        <v>#REF!</v>
      </c>
      <c r="M48" s="33"/>
      <c r="N48" s="33"/>
    </row>
    <row r="49" spans="1:14" x14ac:dyDescent="0.3">
      <c r="A49" s="185"/>
      <c r="B49" s="7" t="s">
        <v>13</v>
      </c>
      <c r="C49" s="187"/>
      <c r="D49" s="6" t="s">
        <v>135</v>
      </c>
      <c r="E49" s="6" t="s">
        <v>143</v>
      </c>
      <c r="F49" s="31"/>
      <c r="G49" s="33"/>
      <c r="H49" s="33"/>
      <c r="I49" s="33" t="e">
        <f>#REF!</f>
        <v>#REF!</v>
      </c>
      <c r="J49" s="33"/>
      <c r="K49" s="33"/>
      <c r="L49" s="34" t="e">
        <f t="shared" si="5"/>
        <v>#REF!</v>
      </c>
      <c r="M49" s="33"/>
      <c r="N49" s="33"/>
    </row>
    <row r="50" spans="1:14" ht="28.8" x14ac:dyDescent="0.3">
      <c r="A50" s="185"/>
      <c r="B50" s="7" t="s">
        <v>137</v>
      </c>
      <c r="C50" s="187"/>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Régime 1</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2026-06-29T11:38:06Z</dcterms:modified>
</cp:coreProperties>
</file>