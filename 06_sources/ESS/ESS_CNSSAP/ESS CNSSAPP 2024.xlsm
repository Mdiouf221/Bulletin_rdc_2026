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6" documentId="8_{DD350247-3457-4EBE-AA0B-D7808B4704A8}" xr6:coauthVersionLast="47" xr6:coauthVersionMax="47" xr10:uidLastSave="{DFAB9A57-32FF-44A4-8048-6E770CBA27BC}"/>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state="hidden" r:id="rId7"/>
    <sheet name="Régime 6" sheetId="268" state="hidden" r:id="rId8"/>
    <sheet name="Régime 7" sheetId="267" state="hidden" r:id="rId9"/>
    <sheet name="Régime 8" sheetId="266" state="hidden" r:id="rId10"/>
    <sheet name="Régime 9" sheetId="265" state="hidden" r:id="rId11"/>
    <sheet name="Régime 10" sheetId="264" state="hidden"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2" l="1"/>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1D79CFEA-FC18-41A9-A762-85643B434570}">
      <text>
        <r>
          <rPr>
            <b/>
            <sz val="9"/>
            <color indexed="81"/>
            <rFont val="Garamond"/>
            <family val="1"/>
          </rPr>
          <t>user:</t>
        </r>
        <r>
          <rPr>
            <sz val="9"/>
            <color indexed="81"/>
            <rFont val="Garamond"/>
            <family val="1"/>
          </rPr>
          <t xml:space="preserve">
Charges administraves pour tous les régimes confondus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980E6746-AAE1-44F3-843A-FE19EF81BFD1}">
      <text>
        <r>
          <rPr>
            <b/>
            <sz val="9"/>
            <color indexed="81"/>
            <rFont val="Tahoma"/>
            <family val="2"/>
          </rPr>
          <t>user:</t>
        </r>
        <r>
          <rPr>
            <sz val="9"/>
            <color indexed="81"/>
            <rFont val="Tahoma"/>
            <family val="2"/>
          </rPr>
          <t xml:space="preserve">
Total pensions sans frais administratifs</t>
        </r>
      </text>
    </comment>
    <comment ref="Z6" authorId="0" shapeId="0" xr:uid="{42B5B464-DE53-4188-AE54-FDF516750A45}">
      <text>
        <r>
          <rPr>
            <b/>
            <sz val="9"/>
            <color indexed="81"/>
            <rFont val="Tahoma"/>
            <family val="2"/>
          </rPr>
          <t>user:</t>
        </r>
        <r>
          <rPr>
            <sz val="9"/>
            <color indexed="81"/>
            <rFont val="Tahoma"/>
            <family val="2"/>
          </rPr>
          <t xml:space="preserve">
Total rente de survie sans frais administratif
</t>
        </r>
      </text>
    </comment>
    <comment ref="Z7" authorId="0" shapeId="0" xr:uid="{78C61C6A-E44F-4BA6-96BA-4BBD89042C3B}">
      <text>
        <r>
          <rPr>
            <b/>
            <sz val="9"/>
            <color indexed="81"/>
            <rFont val="Tahoma"/>
            <family val="2"/>
          </rPr>
          <t>user:</t>
        </r>
        <r>
          <rPr>
            <sz val="9"/>
            <color indexed="81"/>
            <rFont val="Tahoma"/>
            <family val="2"/>
          </rPr>
          <t xml:space="preserve">
Total rente de survie sans frais administratif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57D1CC00-3E6B-4C2E-9A8B-CF369C758B30}">
      <text>
        <r>
          <rPr>
            <b/>
            <sz val="9"/>
            <color indexed="81"/>
            <rFont val="Tahoma"/>
            <family val="2"/>
          </rPr>
          <t>user:</t>
        </r>
        <r>
          <rPr>
            <sz val="9"/>
            <color indexed="81"/>
            <rFont val="Tahoma"/>
            <family val="2"/>
          </rPr>
          <t xml:space="preserve">
Depense pour réparation uniquement.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<sst xmlns="http://schemas.openxmlformats.org/spreadsheetml/2006/main" count="3197" uniqueCount="544">
  <si>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</si>
  <si>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</si>
  <si>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</si>
  <si>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</si>
  <si>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</si>
  <si>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</si>
  <si>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</si>
  <si>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</si>
  <si>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</si>
  <si>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</si>
  <si>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</si>
  <si>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</si>
  <si>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</si>
  <si>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</si>
  <si>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</si>
  <si>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</si>
  <si>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</si>
  <si>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</si>
  <si>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</si>
  <si>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</si>
  <si>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</si>
  <si>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</si>
  <si>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</si>
  <si>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</si>
  <si>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</si>
  <si>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</si>
  <si>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</si>
  <si>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</si>
  <si>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</si>
  <si>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</si>
  <si>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</si>
  <si>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</si>
  <si>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</si>
  <si>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</si>
  <si>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</si>
  <si>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</si>
  <si>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</si>
  <si>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</si>
  <si>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</si>
  <si>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</si>
  <si>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</si>
  <si>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</si>
  <si>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</si>
  <si>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</si>
  <si>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</si>
  <si>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</si>
  <si>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</si>
  <si>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</si>
  <si>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</si>
  <si>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</si>
  <si>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</si>
  <si>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</si>
  <si>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</si>
  <si>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</si>
  <si>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</si>
  <si>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</si>
  <si>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</si>
  <si>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</si>
  <si>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</si>
  <si>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</si>
  <si>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</si>
  <si>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</si>
  <si>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</si>
  <si>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</si>
  <si>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</si>
  <si>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</si>
  <si>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</si>
  <si>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</si>
  <si>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</si>
  <si>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</si>
  <si>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</si>
  <si>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</si>
  <si>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</si>
  <si>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</si>
  <si>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</si>
  <si>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</si>
  <si>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</si>
  <si>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</si>
  <si>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</si>
  <si>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</si>
  <si>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</si>
  <si>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</si>
  <si>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</si>
  <si>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</si>
  <si>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</si>
  <si>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</si>
  <si>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</si>
  <si>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</si>
  <si>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</si>
  <si>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</si>
  <si>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</si>
  <si>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</si>
  <si>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</si>
  <si>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</si>
  <si>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</si>
  <si>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</si>
  <si>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</si>
  <si>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</si>
  <si>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</si>
  <si>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</si>
  <si>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</si>
  <si>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</si>
  <si>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</si>
  <si>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</si>
  <si>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</si>
  <si>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</si>
  <si>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</si>
  <si>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</si>
  <si>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</si>
  <si>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</si>
  <si>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</si>
  <si>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</si>
  <si>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</si>
  <si>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</si>
  <si>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</si>
  <si>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</si>
  <si>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</si>
  <si>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</si>
  <si>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</si>
  <si>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</si>
  <si>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</si>
  <si>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</si>
  <si>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</si>
  <si>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</si>
  <si>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</si>
  <si>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</si>
  <si>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</si>
  <si>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</si>
  <si>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</si>
  <si>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</si>
  <si>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</si>
  <si>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</si>
  <si>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</si>
  <si>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</si>
  <si>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</si>
  <si>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</si>
  <si>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</si>
  <si>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</si>
  <si>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</si>
  <si>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</si>
  <si>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</si>
  <si>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</si>
  <si>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</si>
  <si>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</si>
  <si>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</si>
  <si>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</si>
  <si>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</si>
  <si>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</si>
  <si>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</si>
  <si>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</si>
  <si>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</si>
  <si>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</si>
  <si>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</si>
  <si>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</si>
  <si>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</si>
  <si>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</si>
  <si>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</si>
  <si>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</si>
  <si>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</si>
  <si>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</si>
  <si>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</si>
  <si>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</si>
  <si>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</si>
  <si>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</si>
  <si>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</si>
  <si>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</si>
  <si>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</si>
  <si>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</si>
  <si>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</si>
  <si>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</si>
  <si>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</si>
  <si>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</si>
  <si>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</si>
  <si>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</si>
  <si>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</si>
  <si>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</si>
  <si>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</si>
  <si>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</si>
  <si>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</si>
  <si>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</si>
  <si>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</si>
  <si>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</si>
  <si>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</si>
  <si>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</si>
  <si>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</si>
  <si>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</si>
  <si>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</si>
  <si>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</si>
  <si>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</si>
  <si>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</si>
  <si>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</si>
  <si>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</si>
  <si>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</si>
  <si>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</si>
  <si>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</si>
  <si>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</si>
  <si>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</si>
  <si>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</si>
  <si>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</si>
  <si>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</si>
  <si>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</si>
  <si>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</si>
  <si>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</si>
  <si>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</si>
  <si>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</si>
  <si>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</si>
  <si>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</si>
  <si>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</si>
  <si>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</si>
  <si>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</si>
  <si>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</si>
  <si>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</si>
  <si>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</si>
  <si>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</si>
  <si>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</si>
  <si>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</si>
  <si>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</si>
  <si>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</si>
  <si>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</si>
  <si>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</si>
  <si>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</si>
  <si>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</si>
  <si>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</si>
  <si>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</si>
  <si>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</si>
  <si>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</si>
  <si>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</si>
  <si>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</si>
  <si>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</si>
  <si>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</si>
  <si>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</si>
  <si>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</si>
  <si>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</si>
  <si>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</si>
  <si>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</si>
  <si>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</si>
  <si>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</si>
  <si>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</si>
  <si>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</si>
  <si>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</si>
  <si>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</si>
  <si>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</si>
  <si>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</si>
  <si>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</si>
  <si>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</si>
  <si>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</si>
  <si>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</si>
  <si>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</si>
  <si>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</si>
  <si>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</si>
  <si>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</si>
  <si>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</si>
  <si>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</si>
  <si>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</si>
  <si>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</si>
  <si>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</si>
  <si>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</si>
  <si>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</si>
  <si>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</si>
  <si>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</si>
  <si>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</si>
  <si>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</si>
  <si>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</si>
  <si>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</si>
  <si>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</si>
  <si>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</si>
  <si>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</si>
  <si>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</si>
  <si>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</si>
  <si>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</si>
  <si>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</si>
  <si>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</si>
  <si>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</si>
  <si>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</si>
  <si>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</si>
  <si>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</si>
  <si>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</si>
  <si>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</si>
  <si>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</si>
  <si>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</si>
  <si>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</si>
  <si>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</si>
  <si>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</si>
  <si>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</si>
  <si>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</si>
  <si>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</si>
  <si>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</si>
  <si>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</si>
  <si>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</si>
  <si>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</si>
  <si>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</si>
  <si>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</si>
  <si>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</si>
  <si>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</si>
  <si>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</si>
  <si>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</si>
  <si>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</si>
  <si>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</si>
  <si>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</si>
  <si>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</si>
  <si>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</si>
  <si>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</si>
  <si>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</si>
  <si>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</si>
  <si>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</si>
  <si>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</si>
  <si>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</si>
  <si>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</si>
  <si>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</si>
  <si>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</si>
  <si>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</si>
  <si>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</si>
  <si>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</si>
  <si>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</si>
  <si>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</si>
  <si>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</si>
  <si>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</si>
  <si>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</si>
  <si>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</si>
  <si>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</si>
  <si>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</si>
  <si>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</si>
  <si>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</si>
  <si>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</si>
  <si>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</si>
  <si>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</si>
  <si>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</si>
  <si>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</si>
  <si>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</si>
  <si>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</si>
  <si>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</si>
  <si>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</si>
  <si>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</si>
  <si>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</si>
  <si>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</si>
  <si>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</si>
  <si>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</si>
  <si>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</si>
  <si>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</si>
  <si>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</si>
  <si>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</si>
  <si>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</si>
  <si>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</si>
  <si>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</si>
  <si>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</si>
  <si>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</si>
  <si>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</si>
  <si>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</si>
  <si>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</si>
  <si>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</si>
  <si>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</si>
  <si>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</si>
  <si>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</si>
  <si>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</si>
  <si>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</si>
  <si>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</si>
  <si>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</si>
  <si>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</si>
  <si>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</si>
  <si>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</si>
  <si>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</si>
  <si>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</si>
  <si>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</si>
  <si>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</si>
  <si>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</si>
  <si>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</si>
  <si>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</si>
  <si>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</si>
  <si>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</si>
  <si>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</si>
  <si>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</si>
  <si>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</si>
  <si>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</si>
  <si>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</si>
  <si>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</si>
  <si>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</si>
  <si>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</si>
  <si>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</si>
  <si>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</si>
  <si>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</si>
  <si>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</si>
  <si>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</si>
  <si>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</si>
  <si>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</si>
  <si>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</si>
  <si>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</si>
  <si>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</si>
  <si>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</si>
  <si>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</si>
  <si>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</si>
  <si>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</si>
  <si>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</si>
  <si>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</si>
  <si>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</si>
  <si>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</si>
  <si>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</si>
  <si>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</si>
  <si>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</si>
  <si>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</si>
  <si>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</si>
  <si>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</si>
  <si>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</si>
  <si>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</si>
  <si>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</si>
  <si>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</si>
  <si>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</si>
  <si>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</si>
  <si>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</si>
  <si>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</si>
  <si>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</si>
  <si>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</si>
  <si>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</si>
  <si>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</si>
  <si>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</si>
  <si>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</si>
  <si>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</si>
  <si>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</si>
  <si>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</si>
  <si>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</si>
  <si>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</si>
  <si>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</si>
  <si>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</si>
  <si>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</si>
  <si>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</si>
  <si>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</si>
  <si>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</si>
  <si>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</si>
  <si>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</si>
  <si>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</si>
  <si>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</si>
  <si>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</si>
  <si>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</si>
  <si>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</si>
  <si>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</si>
  <si>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</si>
  <si>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</si>
  <si>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</si>
  <si>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</si>
  <si>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</si>
  <si>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</si>
  <si>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</si>
  <si>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</si>
  <si>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</si>
  <si>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</si>
  <si>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</si>
  <si>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</si>
  <si>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</si>
  <si>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</si>
  <si>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</si>
  <si>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</si>
  <si>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</si>
  <si>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</si>
  <si>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</si>
  <si>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</si>
  <si>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</si>
  <si>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</si>
  <si>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</si>
  <si>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</si>
  <si>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</si>
  <si>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</si>
  <si>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</si>
  <si>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</si>
  <si>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</si>
  <si>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</si>
  <si>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</si>
  <si>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</si>
  <si>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</si>
  <si>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</si>
  <si>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</si>
  <si>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</si>
  <si>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</si>
  <si>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</si>
  <si>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</si>
  <si>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</si>
  <si>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</si>
  <si>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</si>
  <si>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</si>
  <si>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</si>
  <si>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</si>
  <si>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</si>
  <si>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</si>
  <si>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</si>
  <si>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</si>
  <si>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</si>
  <si>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</si>
  <si>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</si>
  <si>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</si>
  <si>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</si>
  <si>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</si>
  <si>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</si>
  <si>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</si>
  <si>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</si>
  <si>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</si>
  <si>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</si>
  <si>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</si>
  <si>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</si>
  <si>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</si>
  <si>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</si>
  <si>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</si>
  <si>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</si>
  <si>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</si>
  <si>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</si>
  <si>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</si>
  <si>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</si>
  <si>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</si>
  <si>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</si>
  <si>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</si>
  <si>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</si>
  <si>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</si>
  <si>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</si>
  <si>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</si>
  <si>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</si>
  <si>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</si>
  <si>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</si>
  <si>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</si>
  <si>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</si>
  <si>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</si>
  <si>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</si>
  <si>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</si>
  <si>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</si>
  <si>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</si>
  <si>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</si>
  <si>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</si>
  <si>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</si>
  <si>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</si>
  <si>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</si>
  <si>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</si>
  <si>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</si>
  <si>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</si>
  <si>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</si>
  <si>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</si>
  <si>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 </t>
  </si>
  <si>
    <t>15ans de stage</t>
  </si>
  <si>
    <t>65ans</t>
  </si>
  <si>
    <t xml:space="preserve">Conjoint non rémarier </t>
  </si>
  <si>
    <t xml:space="preserve">Moins de 18ans </t>
  </si>
  <si>
    <t xml:space="preserve">Le régime complémentaire ne compte pas encore des prestataires. Aucune pension n'est encore versée à ce jour. </t>
  </si>
  <si>
    <t>Prestations en cas d'accident du travail</t>
  </si>
  <si>
    <t xml:space="preserve">Prestations en cas de maladie professionnelle  </t>
  </si>
  <si>
    <t>Prestations pour réparation</t>
  </si>
  <si>
    <t>Depenses de prévention</t>
  </si>
  <si>
    <t>Les prestations pour réparation sont versées aux assurés qui en font la demande après examen de leur dossier.</t>
  </si>
  <si>
    <t>Reforme du transfert des assurés du sytème octroyé à la CNSSAP</t>
  </si>
  <si>
    <t xml:space="preserve"> 35 ans de carrière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</si>
</sst>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Garamond"/>
      <family val="1"/>
    </font>
    <font>
      <sz val="9"/>
      <color indexed="81"/>
      <name val="Garamond"/>
      <family val="1"/>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
      <patternFill patternType="solid">
        <fgColor rgb="FFFFFF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3" borderId="0" xfId="0" applyNumberFormat="1" applyFont="1" applyFill="1" applyAlignment="1">
      <alignment horizontal="center" vertical="top"/>
    </xf>
    <xf numFmtId="3" fontId="30" fillId="17" borderId="4" xfId="1"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3" xfId="1"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49" fontId="21" fillId="10" borderId="12" xfId="0" applyNumberFormat="1" applyFont="1" applyFill="1" applyBorder="1" applyAlignment="1" applyProtection="1">
      <alignment horizontal="right" vertical="top" wrapText="1"/>
      <protection locked="0"/>
    </xf>
    <xf numFmtId="3" fontId="21" fillId="9" borderId="12" xfId="0" applyNumberFormat="1" applyFont="1" applyFill="1" applyBorder="1" applyAlignment="1" applyProtection="1">
      <alignment horizontal="left" vertical="center" wrapText="1"/>
      <protection locked="0"/>
    </xf>
    <xf numFmtId="4" fontId="26" fillId="3" borderId="0" xfId="0" applyNumberFormat="1" applyFont="1" applyFill="1" applyAlignment="1">
      <alignment horizontal="left" vertical="top"/>
    </xf>
    <xf numFmtId="3" fontId="26" fillId="3" borderId="0" xfId="0" applyNumberFormat="1" applyFont="1" applyFill="1" applyAlignment="1">
      <alignment horizontal="left" vertical="top"/>
    </xf>
    <xf numFmtId="3" fontId="21" fillId="7" borderId="12"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center" vertical="top" wrapText="1"/>
      <protection locked="0"/>
    </xf>
    <xf numFmtId="3" fontId="21" fillId="9" borderId="12" xfId="0" applyNumberFormat="1" applyFont="1" applyFill="1" applyBorder="1" applyAlignment="1" applyProtection="1">
      <alignment vertical="top" wrapText="1"/>
      <protection locked="0"/>
    </xf>
    <xf numFmtId="49" fontId="21" fillId="19" borderId="4"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center" wrapText="1"/>
      <protection locked="0"/>
    </xf>
    <xf numFmtId="3" fontId="21" fillId="9" borderId="8" xfId="0" applyNumberFormat="1" applyFont="1" applyFill="1" applyBorder="1" applyAlignment="1" applyProtection="1">
      <alignment vertical="center" wrapText="1"/>
      <protection locked="0"/>
    </xf>
    <xf numFmtId="49" fontId="21" fillId="20" borderId="6" xfId="0" applyNumberFormat="1" applyFont="1" applyFill="1" applyBorder="1" applyAlignment="1" applyProtection="1">
      <alignment horizontal="left" vertical="top" wrapText="1"/>
      <protection locked="0"/>
    </xf>
    <xf numFmtId="49" fontId="21" fillId="20" borderId="1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3" fontId="21" fillId="20" borderId="8" xfId="0" applyNumberFormat="1" applyFont="1" applyFill="1" applyBorder="1" applyAlignment="1" applyProtection="1">
      <alignment vertical="top" wrapText="1"/>
      <protection locked="0"/>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0">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8230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Z6" activePane="bottomRight" state="frozen"/>
      <selection pane="topRight" activeCell="C1" sqref="C1"/>
      <selection pane="bottomLeft" activeCell="A6" sqref="A6"/>
      <selection pane="bottomRight" activeCell="AF7" sqref="AF7"/>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526</v>
      </c>
      <c r="C1" s="74" t="s">
        <v>180</v>
      </c>
      <c r="D1" s="152" t="s">
        <v>166</v>
      </c>
      <c r="E1" s="247" t="s">
        <v>516</v>
      </c>
      <c r="F1" s="247"/>
      <c r="G1" s="247"/>
      <c r="H1" s="247"/>
      <c r="I1" s="247"/>
      <c r="J1" s="247"/>
      <c r="K1" s="247"/>
      <c r="L1" s="247"/>
      <c r="M1" s="247"/>
      <c r="N1" s="247"/>
      <c r="O1" s="247"/>
      <c r="P1" s="247"/>
      <c r="Q1" s="247"/>
      <c r="R1" s="247"/>
      <c r="S1" s="247"/>
      <c r="T1" s="247"/>
      <c r="U1" s="247"/>
      <c r="V1" s="247"/>
      <c r="W1" s="66"/>
      <c r="X1" s="66"/>
      <c r="Y1" s="66"/>
      <c r="Z1" s="66"/>
      <c r="AA1" s="66"/>
      <c r="AB1" s="66"/>
      <c r="AC1" s="59"/>
      <c r="AD1" s="59"/>
      <c r="AE1" s="59"/>
      <c r="AF1" s="80"/>
      <c r="AG1" s="59"/>
      <c r="AH1" s="59"/>
      <c r="AI1" s="59"/>
      <c r="AJ1" s="59"/>
    </row>
    <row r="2" spans="1:37" x14ac:dyDescent="0.3">
      <c r="A2" s="76" t="s">
        <v>214</v>
      </c>
      <c r="B2" s="151">
        <v>2024</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228"/>
      <c r="AC3" s="59"/>
      <c r="AD3" s="59"/>
      <c r="AE3" s="59"/>
      <c r="AF3" s="59"/>
      <c r="AG3" s="59"/>
      <c r="AH3" s="59"/>
      <c r="AI3" s="59"/>
      <c r="AJ3" s="59"/>
    </row>
    <row r="4" spans="1:37" ht="96" customHeight="1" x14ac:dyDescent="0.3">
      <c r="A4" s="139" t="s">
        <v>248</v>
      </c>
      <c r="B4" s="140" t="s">
        <v>215</v>
      </c>
      <c r="C4" s="140" t="s">
        <v>216</v>
      </c>
      <c r="D4" s="140" t="s">
        <v>217</v>
      </c>
      <c r="E4" s="248" t="s">
        <v>218</v>
      </c>
      <c r="F4" s="248" t="s">
        <v>219</v>
      </c>
      <c r="G4" s="248" t="s">
        <v>220</v>
      </c>
      <c r="H4" s="248" t="s">
        <v>221</v>
      </c>
      <c r="I4" s="248" t="s">
        <v>222</v>
      </c>
      <c r="J4" s="248" t="s">
        <v>223</v>
      </c>
      <c r="K4" s="248" t="s">
        <v>224</v>
      </c>
      <c r="L4" s="248" t="s">
        <v>225</v>
      </c>
      <c r="M4" s="248" t="s">
        <v>226</v>
      </c>
      <c r="N4" s="248" t="s">
        <v>227</v>
      </c>
      <c r="O4" s="248" t="s">
        <v>228</v>
      </c>
      <c r="P4" s="248" t="s">
        <v>229</v>
      </c>
      <c r="Q4" s="248" t="s">
        <v>230</v>
      </c>
      <c r="R4" s="248" t="s">
        <v>231</v>
      </c>
      <c r="S4" s="248" t="s">
        <v>232</v>
      </c>
      <c r="T4" s="248" t="s">
        <v>233</v>
      </c>
      <c r="U4" s="248" t="s">
        <v>234</v>
      </c>
      <c r="V4" s="141" t="s">
        <v>235</v>
      </c>
      <c r="W4" s="142" t="s">
        <v>236</v>
      </c>
      <c r="X4" s="250" t="s">
        <v>237</v>
      </c>
      <c r="Y4" s="251"/>
      <c r="Z4" s="252"/>
      <c r="AA4" s="253" t="s">
        <v>327</v>
      </c>
      <c r="AB4" s="254"/>
      <c r="AC4" s="255"/>
      <c r="AD4" s="142" t="s">
        <v>238</v>
      </c>
      <c r="AE4" s="142" t="s">
        <v>239</v>
      </c>
      <c r="AF4" s="142" t="s">
        <v>240</v>
      </c>
      <c r="AG4" s="141" t="s">
        <v>241</v>
      </c>
      <c r="AH4" s="141" t="s">
        <v>242</v>
      </c>
      <c r="AI4" s="141" t="s">
        <v>243</v>
      </c>
      <c r="AJ4" s="140" t="s">
        <v>244</v>
      </c>
    </row>
    <row r="5" spans="1:37" ht="12.75" customHeight="1" x14ac:dyDescent="0.3">
      <c r="A5" s="143"/>
      <c r="B5" s="144"/>
      <c r="C5" s="145"/>
      <c r="D5" s="146"/>
      <c r="E5" s="249"/>
      <c r="F5" s="249"/>
      <c r="G5" s="249"/>
      <c r="H5" s="249"/>
      <c r="I5" s="249"/>
      <c r="J5" s="249"/>
      <c r="K5" s="249"/>
      <c r="L5" s="249"/>
      <c r="M5" s="249"/>
      <c r="N5" s="249"/>
      <c r="O5" s="249"/>
      <c r="P5" s="249"/>
      <c r="Q5" s="249"/>
      <c r="R5" s="249"/>
      <c r="S5" s="249"/>
      <c r="T5" s="249"/>
      <c r="U5" s="249"/>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522</v>
      </c>
      <c r="C6" s="173" t="s">
        <v>522</v>
      </c>
      <c r="D6" s="174" t="s">
        <v>525</v>
      </c>
      <c r="E6" s="174" t="s">
        <v>10</v>
      </c>
      <c r="F6" s="240"/>
      <c r="G6" s="174" t="s">
        <v>10</v>
      </c>
      <c r="H6" s="174"/>
      <c r="I6" s="174"/>
      <c r="J6" s="174"/>
      <c r="K6" s="174"/>
      <c r="L6" s="174"/>
      <c r="M6" s="174"/>
      <c r="N6" s="174"/>
      <c r="O6" s="174"/>
      <c r="P6" s="174"/>
      <c r="Q6" s="174"/>
      <c r="R6" s="174"/>
      <c r="S6" s="174"/>
      <c r="T6" s="174"/>
      <c r="U6" s="174"/>
      <c r="V6" s="174" t="s">
        <v>398</v>
      </c>
      <c r="W6" s="174" t="s">
        <v>424</v>
      </c>
      <c r="X6" s="222">
        <v>1013104</v>
      </c>
      <c r="Y6" s="224">
        <v>0</v>
      </c>
      <c r="Z6" s="224">
        <v>0</v>
      </c>
      <c r="AA6" s="222">
        <v>10485</v>
      </c>
      <c r="AB6" s="222"/>
      <c r="AC6" s="222"/>
      <c r="AD6" s="221" t="s">
        <v>434</v>
      </c>
      <c r="AE6" s="174" t="s">
        <v>438</v>
      </c>
      <c r="AF6" s="174" t="s">
        <v>445</v>
      </c>
      <c r="AG6" s="226">
        <v>29738.778419999999</v>
      </c>
      <c r="AH6" s="226">
        <v>73440</v>
      </c>
      <c r="AI6" s="226">
        <v>460331.75826600002</v>
      </c>
      <c r="AJ6" s="175"/>
      <c r="AK6" s="81"/>
    </row>
    <row r="7" spans="1:37" s="95" customFormat="1" ht="27.6" x14ac:dyDescent="0.3">
      <c r="A7" s="172" t="s">
        <v>250</v>
      </c>
      <c r="B7" s="245" t="s">
        <v>542</v>
      </c>
      <c r="C7" s="245" t="s">
        <v>542</v>
      </c>
      <c r="D7" s="177" t="s">
        <v>525</v>
      </c>
      <c r="E7" s="177" t="s">
        <v>10</v>
      </c>
      <c r="F7" s="177"/>
      <c r="G7" s="177" t="s">
        <v>10</v>
      </c>
      <c r="H7" s="177"/>
      <c r="I7" s="177"/>
      <c r="J7" s="177"/>
      <c r="K7" s="177"/>
      <c r="L7" s="177"/>
      <c r="M7" s="177"/>
      <c r="N7" s="177"/>
      <c r="O7" s="177"/>
      <c r="P7" s="177"/>
      <c r="Q7" s="177"/>
      <c r="R7" s="177"/>
      <c r="S7" s="177"/>
      <c r="T7" s="177"/>
      <c r="U7" s="177"/>
      <c r="V7" s="177" t="s">
        <v>399</v>
      </c>
      <c r="W7" s="177"/>
      <c r="X7" s="183" t="s">
        <v>531</v>
      </c>
      <c r="Y7" s="183"/>
      <c r="Z7" s="183"/>
      <c r="AA7" s="223">
        <v>2510</v>
      </c>
      <c r="AB7" s="224">
        <v>0</v>
      </c>
      <c r="AC7" s="224">
        <v>0</v>
      </c>
      <c r="AD7" s="225" t="s">
        <v>434</v>
      </c>
      <c r="AE7" s="177" t="s">
        <v>438</v>
      </c>
      <c r="AF7" s="177" t="s">
        <v>448</v>
      </c>
      <c r="AG7" s="227">
        <v>19620.22</v>
      </c>
      <c r="AH7" s="227">
        <v>0</v>
      </c>
      <c r="AI7" s="227">
        <v>19620.22</v>
      </c>
      <c r="AJ7" s="178"/>
      <c r="AK7" s="81"/>
    </row>
    <row r="8" spans="1:37" s="81" customFormat="1" ht="27.6" x14ac:dyDescent="0.3">
      <c r="A8" s="171" t="s">
        <v>251</v>
      </c>
      <c r="B8" s="173" t="s">
        <v>530</v>
      </c>
      <c r="C8" s="173" t="s">
        <v>524</v>
      </c>
      <c r="D8" s="174" t="s">
        <v>525</v>
      </c>
      <c r="E8" s="174"/>
      <c r="F8" s="174"/>
      <c r="G8" s="174"/>
      <c r="H8" s="174" t="s">
        <v>10</v>
      </c>
      <c r="I8" s="174"/>
      <c r="J8" s="174"/>
      <c r="K8" s="174"/>
      <c r="L8" s="174"/>
      <c r="M8" s="174"/>
      <c r="N8" s="174" t="s">
        <v>10</v>
      </c>
      <c r="O8" s="174"/>
      <c r="P8" s="174"/>
      <c r="Q8" s="174"/>
      <c r="R8" s="174"/>
      <c r="S8" s="174"/>
      <c r="T8" s="174"/>
      <c r="U8" s="174"/>
      <c r="V8" s="174" t="s">
        <v>399</v>
      </c>
      <c r="W8" s="174"/>
      <c r="X8" s="182"/>
      <c r="Y8" s="182"/>
      <c r="Z8" s="182"/>
      <c r="AA8" s="229">
        <v>2</v>
      </c>
      <c r="AB8" s="224">
        <v>0</v>
      </c>
      <c r="AC8" s="224">
        <v>0</v>
      </c>
      <c r="AD8" s="221" t="s">
        <v>434</v>
      </c>
      <c r="AE8" s="174" t="s">
        <v>438</v>
      </c>
      <c r="AF8" s="174" t="s">
        <v>448</v>
      </c>
      <c r="AG8" s="226">
        <v>1963.5916930000001</v>
      </c>
      <c r="AH8" s="226">
        <v>0</v>
      </c>
      <c r="AI8" s="226">
        <v>33900.873754</v>
      </c>
      <c r="AJ8" s="175"/>
    </row>
    <row r="9" spans="1:37" s="95" customFormat="1" ht="27.6" x14ac:dyDescent="0.3">
      <c r="A9" s="172" t="s">
        <v>252</v>
      </c>
      <c r="B9" s="176" t="s">
        <v>523</v>
      </c>
      <c r="C9" s="176" t="s">
        <v>523</v>
      </c>
      <c r="D9" s="177" t="s">
        <v>525</v>
      </c>
      <c r="E9" s="177"/>
      <c r="F9" s="177"/>
      <c r="G9" s="177"/>
      <c r="H9" s="177"/>
      <c r="I9" s="177"/>
      <c r="J9" s="177"/>
      <c r="K9" s="177"/>
      <c r="L9" s="177"/>
      <c r="M9" s="177"/>
      <c r="N9" s="177"/>
      <c r="O9" s="177"/>
      <c r="P9" s="177"/>
      <c r="Q9" s="177"/>
      <c r="R9" s="177"/>
      <c r="S9" s="177"/>
      <c r="T9" s="177"/>
      <c r="U9" s="177"/>
      <c r="V9" s="177" t="s">
        <v>398</v>
      </c>
      <c r="W9" s="177" t="s">
        <v>424</v>
      </c>
      <c r="X9" s="222">
        <v>219327</v>
      </c>
      <c r="Y9" s="224">
        <v>0</v>
      </c>
      <c r="Z9" s="224">
        <v>0</v>
      </c>
      <c r="AA9" s="224">
        <v>0</v>
      </c>
      <c r="AB9" s="224">
        <v>0</v>
      </c>
      <c r="AC9" s="224">
        <v>0</v>
      </c>
      <c r="AD9" s="225" t="s">
        <v>434</v>
      </c>
      <c r="AE9" s="177" t="s">
        <v>438</v>
      </c>
      <c r="AF9" s="177" t="s">
        <v>450</v>
      </c>
      <c r="AG9" s="227">
        <v>0</v>
      </c>
      <c r="AH9" s="227">
        <v>0</v>
      </c>
      <c r="AI9" s="227">
        <v>55350.563461999998</v>
      </c>
      <c r="AK9" s="81"/>
    </row>
    <row r="10" spans="1:37" s="81" customFormat="1" x14ac:dyDescent="0.3">
      <c r="A10" s="171" t="s">
        <v>253</v>
      </c>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5"/>
      <c r="AH13" s="185"/>
      <c r="AI13" s="185"/>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5"/>
      <c r="AH15" s="185"/>
      <c r="AI15" s="185"/>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D7:AJ7 A6:AJ6 A8:AJ8 A7 A11:AJ45 A10 AJ10 A9:AI9">
    <cfRule type="expression" dxfId="219" priority="7">
      <formula>MOD(ROW(),2)=0</formula>
    </cfRule>
    <cfRule type="expression" dxfId="218" priority="32">
      <formula>MOD(ROW(),2)=1</formula>
    </cfRule>
  </conditionalFormatting>
  <conditionalFormatting sqref="B7">
    <cfRule type="expression" dxfId="217" priority="3">
      <formula>MOD(ROW(),2)=0</formula>
    </cfRule>
    <cfRule type="expression" dxfId="216" priority="4">
      <formula>MOD(ROW(),2)=1</formula>
    </cfRule>
  </conditionalFormatting>
  <conditionalFormatting sqref="C7">
    <cfRule type="expression" dxfId="215" priority="1">
      <formula>MOD(ROW(),2)=0</formula>
    </cfRule>
    <cfRule type="expression" dxfId="214"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6" id="{B02D565D-F825-4CF2-AC97-E9AF5112121B}">
            <xm:f>$V6=HID_dropdown!$A$3</xm:f>
            <x14:dxf>
              <fill>
                <patternFill>
                  <bgColor theme="1"/>
                </patternFill>
              </fill>
            </x14:dxf>
          </x14:cfRule>
          <xm:sqref>W11:Z47 W6:Z9</xm:sqref>
        </x14:conditionalFormatting>
        <x14:conditionalFormatting xmlns:xm="http://schemas.microsoft.com/office/excel/2006/main">
          <x14:cfRule type="expression" priority="5" id="{562EB412-386C-4423-89D2-D5BFB3DA33F0}">
            <xm:f>$V6=HID_dropdown!$A$3</xm:f>
            <x14:dxf>
              <fill>
                <patternFill>
                  <bgColor theme="1"/>
                </patternFill>
              </fill>
            </x14:dxf>
          </x14:cfRule>
          <xm:sqref>AA6:AC6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zoomScale="110" zoomScaleNormal="110" workbookViewId="0">
      <pane xSplit="2" ySplit="4" topLeftCell="C5" activePane="bottomRight" state="frozen"/>
      <selection pane="topRight" activeCell="C1" sqref="C1"/>
      <selection pane="bottomLeft" activeCell="A5" sqref="A5"/>
      <selection pane="bottomRight" activeCell="F9" sqref="F9"/>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527</v>
      </c>
      <c r="C5" s="188" t="s">
        <v>527</v>
      </c>
      <c r="D5" s="190" t="s">
        <v>218</v>
      </c>
      <c r="E5" s="191" t="s">
        <v>412</v>
      </c>
      <c r="F5" s="190" t="s">
        <v>420</v>
      </c>
      <c r="G5" s="189" t="s">
        <v>423</v>
      </c>
      <c r="H5" s="189" t="s">
        <v>398</v>
      </c>
      <c r="I5" s="230">
        <v>1013104</v>
      </c>
      <c r="J5" s="208">
        <v>0</v>
      </c>
      <c r="K5" s="208">
        <v>0</v>
      </c>
      <c r="L5" s="220">
        <v>10485</v>
      </c>
      <c r="M5" s="219">
        <v>8568</v>
      </c>
      <c r="N5" s="219">
        <v>1917</v>
      </c>
      <c r="O5" s="192" t="s">
        <v>427</v>
      </c>
      <c r="P5" s="193" t="s">
        <v>432</v>
      </c>
      <c r="Q5" s="232">
        <v>1654517297</v>
      </c>
      <c r="R5" s="232">
        <v>2271401398</v>
      </c>
      <c r="S5" s="192">
        <v>0</v>
      </c>
      <c r="T5" s="194" t="s">
        <v>532</v>
      </c>
      <c r="U5" s="194"/>
      <c r="V5" s="194"/>
      <c r="W5" s="233" t="s">
        <v>533</v>
      </c>
      <c r="X5" s="233" t="s">
        <v>533</v>
      </c>
      <c r="Y5" s="194" t="s">
        <v>543</v>
      </c>
      <c r="Z5" s="234">
        <v>27256816776</v>
      </c>
      <c r="AA5" s="189"/>
      <c r="AB5" s="97"/>
    </row>
    <row r="6" spans="1:28" s="63" customFormat="1" ht="27.6" x14ac:dyDescent="0.3">
      <c r="A6" s="96" t="s">
        <v>356</v>
      </c>
      <c r="B6" s="196" t="s">
        <v>528</v>
      </c>
      <c r="C6" s="196" t="s">
        <v>528</v>
      </c>
      <c r="D6" s="198" t="s">
        <v>402</v>
      </c>
      <c r="E6" s="199" t="s">
        <v>412</v>
      </c>
      <c r="F6" s="200" t="s">
        <v>419</v>
      </c>
      <c r="G6" s="197" t="s">
        <v>423</v>
      </c>
      <c r="H6" s="197" t="s">
        <v>398</v>
      </c>
      <c r="I6" s="231">
        <v>1013104</v>
      </c>
      <c r="J6" s="208">
        <v>0</v>
      </c>
      <c r="K6" s="208">
        <v>0</v>
      </c>
      <c r="L6" s="241">
        <v>2378</v>
      </c>
      <c r="M6" s="208">
        <v>0</v>
      </c>
      <c r="N6" s="208">
        <v>0</v>
      </c>
      <c r="O6" s="193" t="s">
        <v>427</v>
      </c>
      <c r="P6" s="193" t="s">
        <v>432</v>
      </c>
      <c r="Q6" s="241">
        <v>92307580</v>
      </c>
      <c r="R6" s="241">
        <v>139386376.83333334</v>
      </c>
      <c r="S6" s="193">
        <v>0</v>
      </c>
      <c r="T6" s="201" t="s">
        <v>532</v>
      </c>
      <c r="U6" s="201"/>
      <c r="V6" s="201"/>
      <c r="W6" s="202"/>
      <c r="X6" s="202"/>
      <c r="Y6" s="201" t="s">
        <v>534</v>
      </c>
      <c r="Z6" s="242">
        <v>1672636522</v>
      </c>
      <c r="AA6" s="197"/>
      <c r="AB6" s="97"/>
    </row>
    <row r="7" spans="1:28" s="63" customFormat="1" ht="27.6" x14ac:dyDescent="0.3">
      <c r="A7" s="96" t="s">
        <v>357</v>
      </c>
      <c r="B7" s="196" t="s">
        <v>529</v>
      </c>
      <c r="C7" s="196" t="s">
        <v>529</v>
      </c>
      <c r="D7" s="198" t="s">
        <v>402</v>
      </c>
      <c r="E7" s="199" t="s">
        <v>412</v>
      </c>
      <c r="F7" s="200" t="s">
        <v>223</v>
      </c>
      <c r="G7" s="197" t="s">
        <v>423</v>
      </c>
      <c r="H7" s="197" t="s">
        <v>398</v>
      </c>
      <c r="I7" s="231">
        <v>1013104</v>
      </c>
      <c r="J7" s="208">
        <v>0</v>
      </c>
      <c r="K7" s="208">
        <v>0</v>
      </c>
      <c r="L7" s="241">
        <v>2378</v>
      </c>
      <c r="M7" s="208">
        <v>0</v>
      </c>
      <c r="N7" s="208">
        <v>0</v>
      </c>
      <c r="O7" s="193" t="s">
        <v>427</v>
      </c>
      <c r="P7" s="193" t="s">
        <v>432</v>
      </c>
      <c r="Q7" s="241">
        <v>92307580</v>
      </c>
      <c r="R7" s="241">
        <v>139386376.83333334</v>
      </c>
      <c r="S7" s="193">
        <v>0</v>
      </c>
      <c r="T7" s="201" t="s">
        <v>532</v>
      </c>
      <c r="U7" s="201"/>
      <c r="V7" s="201"/>
      <c r="W7" s="202"/>
      <c r="X7" s="202"/>
      <c r="Y7" s="201" t="s">
        <v>535</v>
      </c>
      <c r="Z7" s="241">
        <v>1672636522</v>
      </c>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I8:K19 T5:T19 I5:I7</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2" id="{9668DF49-B070-4A6A-8219-30AD166ED0F2}">
            <xm:f>$H5=HID_dropdown!$A$3</xm:f>
            <x14:dxf>
              <fill>
                <patternFill>
                  <bgColor theme="1"/>
                </patternFill>
              </fill>
              <border>
                <left style="thin">
                  <color auto="1"/>
                </left>
                <right style="thin">
                  <color auto="1"/>
                </right>
                <top style="thin">
                  <color auto="1"/>
                </top>
                <bottom style="thin">
                  <color auto="1"/>
                </bottom>
              </border>
            </x14:dxf>
          </x14:cfRule>
          <xm:sqref>J5:K7</xm:sqref>
        </x14:conditionalFormatting>
        <x14:conditionalFormatting xmlns:xm="http://schemas.microsoft.com/office/excel/2006/main">
          <x14:cfRule type="expression" priority="1" id="{45B55BFB-9722-4F98-A4BB-EECD2850B70A}">
            <xm:f>$H6=HID_dropdown!$A$3</xm:f>
            <x14:dxf>
              <fill>
                <patternFill>
                  <bgColor theme="1"/>
                </patternFill>
              </fill>
              <border>
                <left style="thin">
                  <color auto="1"/>
                </left>
                <right style="thin">
                  <color auto="1"/>
                </right>
                <top style="thin">
                  <color auto="1"/>
                </top>
                <bottom style="thin">
                  <color auto="1"/>
                </bottom>
              </border>
            </x14:dxf>
          </x14:cfRule>
          <xm:sqref>M6:N7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R6" sqref="R6"/>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Reforme du transfert des assurés du sytème octroyé à la CNSSAP</v>
      </c>
      <c r="C1" s="164" t="str">
        <f ca="1">IF(OFFSET('Inventaire des régimes'!C5,(_xlfn.SHEET()-2),0)=0,"Name of Scheme in English", OFFSET('Inventaire des régimes'!C5,(_xlfn.SHEET()-2),0))</f>
        <v>Reforme du transfert des assurés du sytème octroyé à la CNSSAP</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t="s">
        <v>527</v>
      </c>
      <c r="C5" s="189" t="s">
        <v>527</v>
      </c>
      <c r="D5" s="190" t="s">
        <v>218</v>
      </c>
      <c r="E5" s="191" t="s">
        <v>527</v>
      </c>
      <c r="F5" s="244" t="s">
        <v>421</v>
      </c>
      <c r="G5" s="189" t="s">
        <v>423</v>
      </c>
      <c r="H5" s="189" t="s">
        <v>399</v>
      </c>
      <c r="I5" s="205"/>
      <c r="J5" s="205"/>
      <c r="K5" s="205"/>
      <c r="L5" s="206">
        <f>M5+N5</f>
        <v>2510</v>
      </c>
      <c r="M5" s="207">
        <v>2137</v>
      </c>
      <c r="N5" s="207">
        <v>373</v>
      </c>
      <c r="O5" s="192" t="s">
        <v>427</v>
      </c>
      <c r="P5" s="193" t="s">
        <v>432</v>
      </c>
      <c r="Q5" s="237">
        <v>435807950</v>
      </c>
      <c r="R5" s="238">
        <v>830881255.83333337</v>
      </c>
      <c r="S5" s="192">
        <v>0</v>
      </c>
      <c r="T5" s="194"/>
      <c r="U5" s="194"/>
      <c r="V5" s="194" t="s">
        <v>436</v>
      </c>
      <c r="W5" s="195"/>
      <c r="X5" s="195"/>
      <c r="Y5" s="194"/>
      <c r="Z5" s="239">
        <v>9970575070</v>
      </c>
      <c r="AA5" s="189"/>
      <c r="AB5" s="97"/>
    </row>
    <row r="6" spans="1:28" s="63" customFormat="1" ht="15" customHeight="1" x14ac:dyDescent="0.3">
      <c r="A6" s="96" t="s">
        <v>356</v>
      </c>
      <c r="B6" s="196" t="s">
        <v>528</v>
      </c>
      <c r="C6" s="197" t="s">
        <v>528</v>
      </c>
      <c r="D6" s="198" t="s">
        <v>402</v>
      </c>
      <c r="E6" s="199" t="s">
        <v>528</v>
      </c>
      <c r="F6" s="200" t="s">
        <v>421</v>
      </c>
      <c r="G6" s="197" t="s">
        <v>423</v>
      </c>
      <c r="H6" s="197" t="s">
        <v>399</v>
      </c>
      <c r="I6" s="208"/>
      <c r="J6" s="208"/>
      <c r="K6" s="208"/>
      <c r="L6" s="209">
        <v>7508</v>
      </c>
      <c r="M6" s="209">
        <v>0</v>
      </c>
      <c r="N6" s="209">
        <v>0</v>
      </c>
      <c r="O6" s="193" t="s">
        <v>427</v>
      </c>
      <c r="P6" s="193" t="s">
        <v>432</v>
      </c>
      <c r="Q6" s="241">
        <v>616810575</v>
      </c>
      <c r="R6" s="241">
        <v>830788403.75</v>
      </c>
      <c r="S6" s="193">
        <v>0</v>
      </c>
      <c r="T6" s="201"/>
      <c r="U6" s="201"/>
      <c r="V6" s="201" t="s">
        <v>436</v>
      </c>
      <c r="W6" s="202"/>
      <c r="X6" s="202"/>
      <c r="Y6" s="201"/>
      <c r="Z6" s="246">
        <v>9969460845</v>
      </c>
      <c r="AA6" s="197"/>
      <c r="AB6" s="97"/>
    </row>
    <row r="7" spans="1:28" s="63" customFormat="1" ht="13.8" x14ac:dyDescent="0.3">
      <c r="A7" s="96" t="s">
        <v>357</v>
      </c>
      <c r="B7" s="196" t="s">
        <v>529</v>
      </c>
      <c r="C7" s="197" t="s">
        <v>529</v>
      </c>
      <c r="D7" s="198" t="s">
        <v>402</v>
      </c>
      <c r="E7" s="199" t="s">
        <v>529</v>
      </c>
      <c r="F7" s="200" t="s">
        <v>223</v>
      </c>
      <c r="G7" s="197" t="s">
        <v>423</v>
      </c>
      <c r="H7" s="197" t="s">
        <v>399</v>
      </c>
      <c r="I7" s="208"/>
      <c r="J7" s="208"/>
      <c r="K7" s="208"/>
      <c r="L7" s="209">
        <v>720</v>
      </c>
      <c r="M7" s="209">
        <v>0</v>
      </c>
      <c r="N7" s="209">
        <v>0</v>
      </c>
      <c r="O7" s="193" t="s">
        <v>427</v>
      </c>
      <c r="P7" s="193" t="s">
        <v>432</v>
      </c>
      <c r="Q7" s="241">
        <v>616810575</v>
      </c>
      <c r="R7" s="241">
        <v>830788403.75</v>
      </c>
      <c r="S7" s="193">
        <v>0</v>
      </c>
      <c r="T7" s="201"/>
      <c r="U7" s="201"/>
      <c r="V7" s="201" t="s">
        <v>436</v>
      </c>
      <c r="W7" s="202"/>
      <c r="X7" s="202"/>
      <c r="Y7" s="201"/>
      <c r="Z7" s="246">
        <v>9969460845</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$D8=HID_dropdown!$B$2</xm:f>
            <x14:dxf>
              <fill>
                <patternFill>
                  <bgColor rgb="FFF3EBF9"/>
                </patternFill>
              </fill>
            </x14:dxf>
          </x14:cfRule>
          <xm:sqref>W8:X19</xm:sqref>
        </x14:conditionalFormatting>
        <x14:conditionalFormatting xmlns:xm="http://schemas.microsoft.com/office/excel/2006/main">
          <x14:cfRule type="expression" priority="6" id="{666D00BB-76B6-4BFB-A3B6-FA3A07CD5F17}">
            <xm:f>$O8=HID_dropdown!$G$3</xm:f>
            <x14:dxf>
              <fill>
                <patternFill>
                  <bgColor theme="1"/>
                </patternFill>
              </fill>
            </x14:dxf>
          </x14:cfRule>
          <xm:sqref>P8:R19</xm:sqref>
        </x14:conditionalFormatting>
        <x14:conditionalFormatting xmlns:xm="http://schemas.microsoft.com/office/excel/2006/main">
          <x14:cfRule type="expression" priority="7" id="{4F6AD9C2-BCA4-4BAD-9318-5065E46FF058}">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DDB06D2-73A0-4C3F-ABD7-23F8E85C1A3D}">
            <xm:f>$H8=HID_dropdown!$A$2</xm:f>
            <x14:dxf>
              <fill>
                <patternFill>
                  <bgColor theme="1"/>
                </patternFill>
              </fill>
            </x14:dxf>
          </x14:cfRule>
          <xm:sqref>U8:V19</xm:sqref>
        </x14:conditionalFormatting>
        <x14:conditionalFormatting xmlns:xm="http://schemas.microsoft.com/office/excel/2006/main">
          <x14:cfRule type="expression" priority="1" id="{45051A7B-8DF4-4B3F-8A16-8B21963E9B89}">
            <xm:f>$D5=HID_dropdown!$B$2</xm:f>
            <x14:dxf>
              <fill>
                <patternFill>
                  <bgColor rgb="FFF3EBF9"/>
                </patternFill>
              </fill>
            </x14:dxf>
          </x14:cfRule>
          <xm:sqref>W5:X7</xm:sqref>
        </x14:conditionalFormatting>
        <x14:conditionalFormatting xmlns:xm="http://schemas.microsoft.com/office/excel/2006/main">
          <x14:cfRule type="expression" priority="2" id="{B1A961EB-F5B4-48DD-A690-924BBE9AA870}">
            <xm:f>$O5=HID_dropdown!$G$3</xm:f>
            <x14:dxf>
              <fill>
                <patternFill>
                  <bgColor theme="1"/>
                </patternFill>
              </fill>
            </x14:dxf>
          </x14:cfRule>
          <xm:sqref>P5:R7</xm:sqref>
        </x14:conditionalFormatting>
        <x14:conditionalFormatting xmlns:xm="http://schemas.microsoft.com/office/excel/2006/main">
          <x14:cfRule type="expression" priority="3" id="{C3C5BF97-62F9-42DB-A465-C1E5EC2D4FF7}">
            <xm:f>$H5=HID_dropdown!$A$3</xm:f>
            <x14:dxf>
              <fill>
                <patternFill>
                  <bgColor theme="1"/>
                </patternFill>
              </fill>
              <border>
                <left style="thin">
                  <color auto="1"/>
                </left>
                <right style="thin">
                  <color auto="1"/>
                </right>
                <top style="thin">
                  <color auto="1"/>
                </top>
                <bottom style="thin">
                  <color auto="1"/>
                </bottom>
              </border>
            </x14:dxf>
          </x14:cfRule>
          <xm:sqref>I5:K7 T5:T7</xm:sqref>
        </x14:conditionalFormatting>
        <x14:conditionalFormatting xmlns:xm="http://schemas.microsoft.com/office/excel/2006/main">
          <x14:cfRule type="expression" priority="4" id="{E0AC403C-8D2B-4CCC-9D0F-FAE304CAF7D0}">
            <xm:f>$H5=HID_dropdown!$A$2</xm:f>
            <x14:dxf>
              <fill>
                <patternFill>
                  <bgColor theme="1"/>
                </patternFill>
              </fill>
            </x14:dxf>
          </x14:cfRule>
          <xm:sqref>U5:V7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539</v>
      </c>
      <c r="C5" s="189" t="s">
        <v>537</v>
      </c>
      <c r="D5" s="190" t="s">
        <v>227</v>
      </c>
      <c r="E5" s="191" t="s">
        <v>412</v>
      </c>
      <c r="F5" s="190" t="s">
        <v>419</v>
      </c>
      <c r="G5" s="189" t="s">
        <v>423</v>
      </c>
      <c r="H5" s="189" t="s">
        <v>399</v>
      </c>
      <c r="I5" s="205"/>
      <c r="J5" s="205"/>
      <c r="K5" s="205"/>
      <c r="L5" s="220">
        <v>2</v>
      </c>
      <c r="M5" s="207">
        <v>0</v>
      </c>
      <c r="N5" s="207">
        <v>0</v>
      </c>
      <c r="O5" s="192" t="s">
        <v>427</v>
      </c>
      <c r="P5" s="193" t="s">
        <v>433</v>
      </c>
      <c r="Q5" s="192"/>
      <c r="R5" s="192"/>
      <c r="S5" s="192">
        <v>0</v>
      </c>
      <c r="T5" s="194"/>
      <c r="U5" s="194" t="s">
        <v>430</v>
      </c>
      <c r="V5" s="194" t="s">
        <v>436</v>
      </c>
      <c r="W5" s="195"/>
      <c r="X5" s="195"/>
      <c r="Y5" s="194">
        <v>0</v>
      </c>
      <c r="Z5" s="203">
        <v>12323720</v>
      </c>
      <c r="AA5" s="189"/>
      <c r="AB5" s="97"/>
    </row>
    <row r="6" spans="1:28" s="63" customFormat="1" ht="27.6" x14ac:dyDescent="0.3">
      <c r="A6" s="96" t="s">
        <v>356</v>
      </c>
      <c r="B6" s="196" t="s">
        <v>540</v>
      </c>
      <c r="C6" s="197" t="s">
        <v>538</v>
      </c>
      <c r="D6" s="243" t="s">
        <v>227</v>
      </c>
      <c r="E6" s="199" t="s">
        <v>412</v>
      </c>
      <c r="F6" s="200" t="s">
        <v>419</v>
      </c>
      <c r="G6" s="197" t="s">
        <v>423</v>
      </c>
      <c r="H6" s="197" t="s">
        <v>399</v>
      </c>
      <c r="I6" s="208"/>
      <c r="J6" s="208"/>
      <c r="K6" s="208"/>
      <c r="L6" s="209">
        <v>0</v>
      </c>
      <c r="M6" s="209">
        <v>0</v>
      </c>
      <c r="N6" s="209">
        <v>0</v>
      </c>
      <c r="O6" s="193" t="s">
        <v>427</v>
      </c>
      <c r="P6" s="193" t="s">
        <v>433</v>
      </c>
      <c r="Q6" s="193"/>
      <c r="R6" s="193"/>
      <c r="S6" s="193">
        <v>0</v>
      </c>
      <c r="T6" s="201"/>
      <c r="U6" s="201" t="s">
        <v>430</v>
      </c>
      <c r="V6" s="201" t="s">
        <v>436</v>
      </c>
      <c r="W6" s="202"/>
      <c r="X6" s="202"/>
      <c r="Y6" s="201">
        <v>0</v>
      </c>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235"/>
      <c r="P20" s="236"/>
      <c r="Q20" s="235"/>
      <c r="R20" s="69"/>
      <c r="S20" s="69"/>
      <c r="T20" s="69"/>
      <c r="U20" s="69"/>
      <c r="V20" s="69"/>
      <c r="W20" s="69"/>
      <c r="X20" s="69"/>
      <c r="Y20" s="69"/>
      <c r="Z20" s="69"/>
      <c r="AA20" s="69"/>
      <c r="AB20" s="69"/>
    </row>
    <row r="21" spans="1:28" ht="135" customHeight="1" x14ac:dyDescent="0.3">
      <c r="A21" s="88" t="s">
        <v>15</v>
      </c>
      <c r="B21" s="75" t="s">
        <v>541</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B5" sqref="B5:AA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B5" s="97"/>
    </row>
    <row r="6" spans="1:28" s="63" customFormat="1" ht="13.8" x14ac:dyDescent="0.3">
      <c r="A6" s="96" t="s">
        <v>356</v>
      </c>
      <c r="AB6" s="97"/>
    </row>
    <row r="7" spans="1:28" s="63" customFormat="1" ht="13.8" x14ac:dyDescent="0.3">
      <c r="A7" s="96" t="s">
        <v>357</v>
      </c>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E3:G3"/>
    <mergeCell ref="I3:K3"/>
    <mergeCell ref="L3:N3"/>
    <mergeCell ref="W3:X3"/>
    <mergeCell ref="I2:N2"/>
    <mergeCell ref="O2:S2"/>
    <mergeCell ref="T2:Y2"/>
  </mergeCells>
  <dataValidations count="8">
    <dataValidation type="list" allowBlank="1" showInputMessage="1" showErrorMessage="1" sqref="P8:P19" xr:uid="{00000000-0002-0000-0500-000000000000}">
      <formula1>LIST_Per</formula1>
    </dataValidation>
    <dataValidation type="list" allowBlank="1" showInputMessage="1" showErrorMessage="1" sqref="O8:O19" xr:uid="{00000000-0002-0000-0500-000001000000}">
      <formula1>LIST_CKnd</formula1>
    </dataValidation>
    <dataValidation type="list" allowBlank="1" showInputMessage="1" showErrorMessage="1" sqref="V8:V19" xr:uid="{00000000-0002-0000-0500-000002000000}">
      <formula1>LIST_Con</formula1>
    </dataValidation>
    <dataValidation type="list" allowBlank="1" showInputMessage="1" showErrorMessage="1" sqref="U8:U19" xr:uid="{00000000-0002-0000-0500-000003000000}">
      <formula1>LIST_Test</formula1>
    </dataValidation>
    <dataValidation type="list" allowBlank="1" showInputMessage="1" showErrorMessage="1" sqref="H8:H19" xr:uid="{00000000-0002-0000-0500-000004000000}">
      <formula1>LIST_CNon</formula1>
    </dataValidation>
    <dataValidation type="list" allowBlank="1" showInputMessage="1" showErrorMessage="1" sqref="G8:G19" xr:uid="{00000000-0002-0000-0500-000005000000}">
      <formula1>LIST_Area</formula1>
    </dataValidation>
    <dataValidation type="list" allowBlank="1" showInputMessage="1" showErrorMessage="1" sqref="F8:F19" xr:uid="{00000000-0002-0000-0500-000006000000}">
      <formula1>LIST_AgrGrp</formula1>
    </dataValidation>
    <dataValidation type="list" allowBlank="1" showInputMessage="1" showErrorMessage="1" sqref="D8: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$D8=HID_dropdown!$B$2</xm:f>
            <x14:dxf>
              <fill>
                <patternFill>
                  <bgColor rgb="FFF3EBF9"/>
                </patternFill>
              </fill>
            </x14:dxf>
          </x14:cfRule>
          <xm:sqref>W8:X19</xm:sqref>
        </x14:conditionalFormatting>
        <x14:conditionalFormatting xmlns:xm="http://schemas.microsoft.com/office/excel/2006/main">
          <x14:cfRule type="expression" priority="2" id="{0F2B8F1C-7900-47E3-8A0C-1D587CFDE7C3}">
            <xm:f>$O8=HID_dropdown!$G$3</xm:f>
            <x14:dxf>
              <fill>
                <patternFill>
                  <bgColor theme="1"/>
                </patternFill>
              </fill>
            </x14:dxf>
          </x14:cfRule>
          <xm:sqref>P8:R19</xm:sqref>
        </x14:conditionalFormatting>
        <x14:conditionalFormatting xmlns:xm="http://schemas.microsoft.com/office/excel/2006/main">
          <x14:cfRule type="expression" priority="3" id="{D97C6875-2BCC-4285-B91F-3B28C34C2174}">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4" id="{FC385A2D-6ED4-4190-8E69-DB7E03166FF3}">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E8:E19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7" t="s">
        <v>351</v>
      </c>
      <c r="J2" s="257"/>
      <c r="K2" s="257"/>
      <c r="L2" s="257"/>
      <c r="M2" s="257"/>
      <c r="N2" s="257"/>
      <c r="O2" s="258" t="s">
        <v>352</v>
      </c>
      <c r="P2" s="258"/>
      <c r="Q2" s="258"/>
      <c r="R2" s="258"/>
      <c r="S2" s="258"/>
      <c r="T2" s="256" t="s">
        <v>353</v>
      </c>
      <c r="U2" s="256"/>
      <c r="V2" s="256"/>
      <c r="W2" s="256"/>
      <c r="X2" s="256"/>
      <c r="Y2" s="256"/>
      <c r="Z2" s="68" t="s">
        <v>354</v>
      </c>
      <c r="AA2" s="65"/>
      <c r="AB2" s="65"/>
    </row>
    <row r="3" spans="1:28" ht="96.6" x14ac:dyDescent="0.3">
      <c r="A3" s="154" t="s">
        <v>328</v>
      </c>
      <c r="B3" s="140" t="s">
        <v>329</v>
      </c>
      <c r="C3" s="140" t="s">
        <v>330</v>
      </c>
      <c r="D3" s="140" t="s">
        <v>331</v>
      </c>
      <c r="E3" s="250" t="s">
        <v>349</v>
      </c>
      <c r="F3" s="251"/>
      <c r="G3" s="252"/>
      <c r="H3" s="140" t="s">
        <v>332</v>
      </c>
      <c r="I3" s="250" t="s">
        <v>333</v>
      </c>
      <c r="J3" s="251"/>
      <c r="K3" s="252"/>
      <c r="L3" s="253" t="s">
        <v>327</v>
      </c>
      <c r="M3" s="254"/>
      <c r="N3" s="255"/>
      <c r="O3" s="140" t="s">
        <v>334</v>
      </c>
      <c r="P3" s="140" t="s">
        <v>335</v>
      </c>
      <c r="Q3" s="140" t="s">
        <v>336</v>
      </c>
      <c r="R3" s="140" t="s">
        <v>337</v>
      </c>
      <c r="S3" s="140" t="s">
        <v>338</v>
      </c>
      <c r="T3" s="140" t="s">
        <v>339</v>
      </c>
      <c r="U3" s="140" t="s">
        <v>515</v>
      </c>
      <c r="V3" s="140" t="s">
        <v>340</v>
      </c>
      <c r="W3" s="250" t="s">
        <v>341</v>
      </c>
      <c r="X3" s="252"/>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9" t="s">
        <v>370</v>
      </c>
      <c r="B4" s="259"/>
      <c r="C4" s="259"/>
      <c r="D4" s="259"/>
      <c r="E4" s="259"/>
      <c r="F4" s="259"/>
      <c r="G4" s="259"/>
    </row>
    <row r="5" spans="1:7" ht="15" customHeight="1" x14ac:dyDescent="0.3">
      <c r="A5" s="125"/>
      <c r="B5" s="260" t="s">
        <v>376</v>
      </c>
      <c r="C5" s="261"/>
      <c r="D5" s="260" t="s">
        <v>377</v>
      </c>
      <c r="E5" s="261"/>
      <c r="F5" s="260" t="s">
        <v>378</v>
      </c>
      <c r="G5" s="261"/>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62"/>
      <c r="C28" s="262"/>
      <c r="D28" s="88" t="s">
        <v>17</v>
      </c>
      <c r="E28" s="262"/>
      <c r="F28" s="26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63" t="s">
        <v>163</v>
      </c>
      <c r="G1" s="263"/>
      <c r="H1" s="263"/>
      <c r="I1" s="264" t="s">
        <v>164</v>
      </c>
      <c r="J1" s="264"/>
      <c r="K1" s="264"/>
      <c r="L1" s="265" t="s">
        <v>148</v>
      </c>
      <c r="M1" s="265"/>
      <c r="N1" s="26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9" t="s">
        <v>161</v>
      </c>
      <c r="G3" s="269"/>
      <c r="H3" s="269"/>
      <c r="I3" s="42">
        <f>'ADDITIONAL statistics for SDGs'!B9</f>
        <v>0</v>
      </c>
      <c r="J3" s="43" t="s">
        <v>18</v>
      </c>
      <c r="K3" s="43" t="s">
        <v>18</v>
      </c>
      <c r="L3" s="44" t="e">
        <f>20294/I3</f>
        <v>#DIV/0!</v>
      </c>
      <c r="M3" s="43" t="s">
        <v>18</v>
      </c>
      <c r="N3" s="43" t="s">
        <v>18</v>
      </c>
    </row>
    <row r="4" spans="1:14" ht="43.2" x14ac:dyDescent="0.3">
      <c r="A4" s="266"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6"/>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6"/>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6"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6"/>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6"/>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7"/>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6" t="s">
        <v>118</v>
      </c>
      <c r="B30" s="6" t="s">
        <v>119</v>
      </c>
      <c r="C30" s="268" t="s">
        <v>120</v>
      </c>
      <c r="D30" s="6"/>
      <c r="E30" s="6"/>
      <c r="F30" s="31"/>
      <c r="G30" s="33"/>
      <c r="H30" s="33"/>
      <c r="I30" s="31"/>
      <c r="J30" s="31"/>
      <c r="K30" s="31"/>
      <c r="L30" s="34"/>
      <c r="M30" s="34"/>
      <c r="N30" s="34"/>
    </row>
    <row r="31" spans="1:14" x14ac:dyDescent="0.3">
      <c r="A31" s="266"/>
      <c r="B31" s="7" t="s">
        <v>3</v>
      </c>
      <c r="C31" s="268"/>
      <c r="D31" s="6" t="s">
        <v>121</v>
      </c>
      <c r="E31" s="6" t="s">
        <v>122</v>
      </c>
      <c r="F31" s="31"/>
      <c r="G31" s="31"/>
      <c r="H31" s="31"/>
      <c r="I31" s="31">
        <f>'ADDITIONAL statistics for SDGs'!$B$31</f>
        <v>0</v>
      </c>
      <c r="J31" s="31"/>
      <c r="K31" s="31"/>
      <c r="L31" s="34" t="e">
        <f t="shared" ref="L31:L39" si="4">F31/I31</f>
        <v>#DIV/0!</v>
      </c>
      <c r="M31" s="31"/>
      <c r="N31" s="31"/>
    </row>
    <row r="32" spans="1:14" x14ac:dyDescent="0.3">
      <c r="A32" s="266"/>
      <c r="B32" s="7" t="s">
        <v>4</v>
      </c>
      <c r="C32" s="268"/>
      <c r="D32" s="6" t="s">
        <v>123</v>
      </c>
      <c r="E32" s="6" t="s">
        <v>122</v>
      </c>
      <c r="F32" s="31"/>
      <c r="G32" s="31"/>
      <c r="H32" s="31"/>
      <c r="I32" s="31">
        <f>'ADDITIONAL statistics for SDGs'!$B$31</f>
        <v>0</v>
      </c>
      <c r="J32" s="31"/>
      <c r="K32" s="31"/>
      <c r="L32" s="34" t="e">
        <f t="shared" si="4"/>
        <v>#DIV/0!</v>
      </c>
      <c r="M32" s="31"/>
      <c r="N32" s="31"/>
    </row>
    <row r="33" spans="1:14" x14ac:dyDescent="0.3">
      <c r="A33" s="266"/>
      <c r="B33" s="7" t="s">
        <v>11</v>
      </c>
      <c r="C33" s="268"/>
      <c r="D33" s="6" t="s">
        <v>124</v>
      </c>
      <c r="E33" s="6" t="s">
        <v>122</v>
      </c>
      <c r="F33" s="31"/>
      <c r="G33" s="31"/>
      <c r="H33" s="31"/>
      <c r="I33" s="31">
        <f>'ADDITIONAL statistics for SDGs'!$B$31</f>
        <v>0</v>
      </c>
      <c r="J33" s="31"/>
      <c r="K33" s="31"/>
      <c r="L33" s="34" t="e">
        <f t="shared" si="4"/>
        <v>#DIV/0!</v>
      </c>
      <c r="M33" s="31"/>
      <c r="N33" s="31"/>
    </row>
    <row r="34" spans="1:14" x14ac:dyDescent="0.3">
      <c r="A34" s="266"/>
      <c r="B34" s="7" t="s">
        <v>5</v>
      </c>
      <c r="C34" s="268"/>
      <c r="D34" s="6" t="s">
        <v>125</v>
      </c>
      <c r="E34" s="6" t="s">
        <v>122</v>
      </c>
      <c r="F34" s="31"/>
      <c r="G34" s="31"/>
      <c r="H34" s="31"/>
      <c r="I34" s="31">
        <f>'ADDITIONAL statistics for SDGs'!$B$31</f>
        <v>0</v>
      </c>
      <c r="J34" s="31"/>
      <c r="K34" s="31"/>
      <c r="L34" s="34" t="e">
        <f t="shared" si="4"/>
        <v>#DIV/0!</v>
      </c>
      <c r="M34" s="31"/>
      <c r="N34" s="31"/>
    </row>
    <row r="35" spans="1:14" ht="28.8" x14ac:dyDescent="0.3">
      <c r="A35" s="266"/>
      <c r="B35" s="6" t="s">
        <v>126</v>
      </c>
      <c r="C35" s="270" t="s">
        <v>127</v>
      </c>
      <c r="D35" s="6"/>
      <c r="E35" s="6"/>
      <c r="F35" s="31"/>
      <c r="G35" s="31"/>
      <c r="H35" s="31"/>
      <c r="I35" s="31"/>
      <c r="J35" s="31"/>
      <c r="K35" s="31"/>
      <c r="L35" s="34"/>
      <c r="M35" s="31"/>
      <c r="N35" s="31"/>
    </row>
    <row r="36" spans="1:14" x14ac:dyDescent="0.3">
      <c r="A36" s="266"/>
      <c r="B36" s="7" t="s">
        <v>3</v>
      </c>
      <c r="C36" s="271"/>
      <c r="D36" s="6" t="s">
        <v>128</v>
      </c>
      <c r="E36" s="6" t="s">
        <v>129</v>
      </c>
      <c r="F36" s="31"/>
      <c r="G36" s="33"/>
      <c r="H36" s="33"/>
      <c r="I36" s="33">
        <f>'ADDITIONAL statistics for SDGs'!$B$30</f>
        <v>0</v>
      </c>
      <c r="J36" s="33"/>
      <c r="K36" s="33"/>
      <c r="L36" s="34" t="e">
        <f t="shared" si="4"/>
        <v>#DIV/0!</v>
      </c>
      <c r="M36" s="33"/>
      <c r="N36" s="33"/>
    </row>
    <row r="37" spans="1:14" x14ac:dyDescent="0.3">
      <c r="A37" s="266"/>
      <c r="B37" s="7" t="s">
        <v>4</v>
      </c>
      <c r="C37" s="271"/>
      <c r="D37" s="6" t="s">
        <v>130</v>
      </c>
      <c r="E37" s="6" t="s">
        <v>129</v>
      </c>
      <c r="F37" s="31"/>
      <c r="G37" s="33"/>
      <c r="H37" s="33"/>
      <c r="I37" s="33">
        <f>'ADDITIONAL statistics for SDGs'!B30</f>
        <v>0</v>
      </c>
      <c r="J37" s="33"/>
      <c r="K37" s="33"/>
      <c r="L37" s="34" t="e">
        <f t="shared" si="4"/>
        <v>#DIV/0!</v>
      </c>
      <c r="M37" s="33"/>
      <c r="N37" s="33"/>
    </row>
    <row r="38" spans="1:14" x14ac:dyDescent="0.3">
      <c r="A38" s="266"/>
      <c r="B38" s="7" t="s">
        <v>11</v>
      </c>
      <c r="C38" s="271"/>
      <c r="D38" s="6" t="s">
        <v>131</v>
      </c>
      <c r="E38" s="6" t="s">
        <v>129</v>
      </c>
      <c r="F38" s="31"/>
      <c r="G38" s="33"/>
      <c r="H38" s="33"/>
      <c r="I38" s="33">
        <f>'ADDITIONAL statistics for SDGs'!B30</f>
        <v>0</v>
      </c>
      <c r="J38" s="33"/>
      <c r="K38" s="33"/>
      <c r="L38" s="34" t="e">
        <f t="shared" si="4"/>
        <v>#DIV/0!</v>
      </c>
      <c r="M38" s="33"/>
      <c r="N38" s="33"/>
    </row>
    <row r="39" spans="1:14" x14ac:dyDescent="0.3">
      <c r="A39" s="266"/>
      <c r="B39" s="7" t="s">
        <v>5</v>
      </c>
      <c r="C39" s="271"/>
      <c r="D39" s="6" t="s">
        <v>132</v>
      </c>
      <c r="E39" s="6" t="s">
        <v>129</v>
      </c>
      <c r="F39" s="31"/>
      <c r="G39" s="33"/>
      <c r="H39" s="33"/>
      <c r="I39" s="33">
        <f>'ADDITIONAL statistics for SDGs'!B30</f>
        <v>0</v>
      </c>
      <c r="J39" s="33"/>
      <c r="K39" s="33"/>
      <c r="L39" s="34" t="e">
        <f t="shared" si="4"/>
        <v>#DIV/0!</v>
      </c>
      <c r="M39" s="33"/>
      <c r="N39" s="33"/>
    </row>
    <row r="40" spans="1:14" x14ac:dyDescent="0.3">
      <c r="A40" s="266"/>
      <c r="C40" s="272"/>
      <c r="D40" s="6"/>
      <c r="E40" s="6"/>
      <c r="F40" s="31"/>
      <c r="G40" s="33"/>
      <c r="H40" s="33"/>
      <c r="I40" s="33"/>
      <c r="J40" s="33"/>
      <c r="K40" s="33"/>
      <c r="L40" s="34"/>
      <c r="M40" s="33"/>
      <c r="N40" s="33"/>
    </row>
    <row r="41" spans="1:14" ht="28.8" x14ac:dyDescent="0.3">
      <c r="A41" s="266"/>
      <c r="B41" s="6" t="s">
        <v>133</v>
      </c>
      <c r="C41" s="268" t="s">
        <v>173</v>
      </c>
      <c r="D41" s="6"/>
      <c r="E41" s="6"/>
      <c r="F41" s="31"/>
      <c r="G41" s="33"/>
      <c r="H41" s="33"/>
      <c r="I41" s="33"/>
      <c r="J41" s="33"/>
      <c r="K41" s="33"/>
      <c r="L41" s="34"/>
      <c r="M41" s="33"/>
      <c r="N41" s="33"/>
    </row>
    <row r="42" spans="1:14" x14ac:dyDescent="0.3">
      <c r="A42" s="266"/>
      <c r="B42" s="7" t="s">
        <v>3</v>
      </c>
      <c r="C42" s="268"/>
      <c r="D42" s="6" t="s">
        <v>134</v>
      </c>
      <c r="E42" s="6" t="s">
        <v>135</v>
      </c>
      <c r="F42" s="31"/>
      <c r="G42" s="33"/>
      <c r="H42" s="33"/>
      <c r="I42" s="33">
        <f>'Info Pauvreté'!B23</f>
        <v>0</v>
      </c>
      <c r="J42" s="33"/>
      <c r="K42" s="33"/>
      <c r="L42" s="34" t="e">
        <f>F42/I42</f>
        <v>#DIV/0!</v>
      </c>
      <c r="M42" s="33"/>
      <c r="N42" s="33"/>
    </row>
    <row r="43" spans="1:14" x14ac:dyDescent="0.3">
      <c r="A43" s="266"/>
      <c r="B43" s="7" t="s">
        <v>4</v>
      </c>
      <c r="C43" s="268"/>
      <c r="D43" s="6" t="s">
        <v>136</v>
      </c>
      <c r="E43" s="6" t="s">
        <v>137</v>
      </c>
      <c r="F43" s="31"/>
      <c r="G43" s="33"/>
      <c r="H43" s="33"/>
      <c r="I43" s="33">
        <f>'Info Pauvreté'!B22</f>
        <v>0</v>
      </c>
      <c r="J43" s="33"/>
      <c r="K43" s="33"/>
      <c r="L43" s="34" t="e">
        <f t="shared" ref="L43:L50" si="5">F43/I43</f>
        <v>#DIV/0!</v>
      </c>
      <c r="M43" s="33"/>
      <c r="N43" s="33"/>
    </row>
    <row r="44" spans="1:14" x14ac:dyDescent="0.3">
      <c r="A44" s="266"/>
      <c r="B44" s="7" t="s">
        <v>16</v>
      </c>
      <c r="C44" s="268"/>
      <c r="D44" s="6" t="s">
        <v>138</v>
      </c>
      <c r="E44" s="6" t="s">
        <v>139</v>
      </c>
      <c r="F44" s="31"/>
      <c r="G44" s="33"/>
      <c r="H44" s="33"/>
      <c r="I44" s="33">
        <f>'Info Pauvreté'!B21</f>
        <v>0</v>
      </c>
      <c r="J44" s="33"/>
      <c r="K44" s="33"/>
      <c r="L44" s="34" t="e">
        <f t="shared" si="5"/>
        <v>#DIV/0!</v>
      </c>
      <c r="M44" s="33"/>
      <c r="N44" s="33"/>
    </row>
    <row r="45" spans="1:14" ht="28.8" x14ac:dyDescent="0.3">
      <c r="A45" s="266"/>
      <c r="B45" s="7" t="s">
        <v>140</v>
      </c>
      <c r="C45" s="268"/>
      <c r="D45" s="6" t="s">
        <v>141</v>
      </c>
      <c r="E45" s="6" t="s">
        <v>137</v>
      </c>
      <c r="F45" s="31"/>
      <c r="G45" s="33"/>
      <c r="H45" s="33"/>
      <c r="I45" s="33">
        <f>'Info Pauvreté'!B22</f>
        <v>0</v>
      </c>
      <c r="J45" s="33"/>
      <c r="K45" s="33"/>
      <c r="L45" s="34" t="e">
        <f t="shared" si="5"/>
        <v>#DIV/0!</v>
      </c>
      <c r="M45" s="33"/>
      <c r="N45" s="33"/>
    </row>
    <row r="46" spans="1:14" ht="28.8" x14ac:dyDescent="0.3">
      <c r="A46" s="266"/>
      <c r="B46" s="6" t="s">
        <v>142</v>
      </c>
      <c r="C46" s="268" t="s">
        <v>143</v>
      </c>
      <c r="D46" s="6"/>
      <c r="E46" s="6"/>
      <c r="F46" s="31"/>
      <c r="G46" s="33"/>
      <c r="H46" s="33"/>
      <c r="I46" s="33"/>
      <c r="J46" s="33"/>
      <c r="K46" s="33"/>
      <c r="L46" s="34"/>
      <c r="M46" s="33"/>
      <c r="N46" s="33"/>
    </row>
    <row r="47" spans="1:14" x14ac:dyDescent="0.3">
      <c r="A47" s="266"/>
      <c r="B47" s="7" t="s">
        <v>3</v>
      </c>
      <c r="C47" s="268"/>
      <c r="D47" s="6" t="s">
        <v>134</v>
      </c>
      <c r="E47" s="6" t="s">
        <v>144</v>
      </c>
      <c r="F47" s="31"/>
      <c r="G47" s="33"/>
      <c r="H47" s="33"/>
      <c r="I47" s="33">
        <f>'Info Pauvreté'!B20</f>
        <v>0</v>
      </c>
      <c r="J47" s="33"/>
      <c r="K47" s="33"/>
      <c r="L47" s="34" t="e">
        <f t="shared" si="5"/>
        <v>#DIV/0!</v>
      </c>
      <c r="M47" s="33"/>
      <c r="N47" s="33"/>
    </row>
    <row r="48" spans="1:14" x14ac:dyDescent="0.3">
      <c r="A48" s="266"/>
      <c r="B48" s="7" t="s">
        <v>4</v>
      </c>
      <c r="C48" s="268"/>
      <c r="D48" s="6" t="s">
        <v>136</v>
      </c>
      <c r="E48" s="6" t="s">
        <v>145</v>
      </c>
      <c r="F48" s="31"/>
      <c r="G48" s="33"/>
      <c r="H48" s="33"/>
      <c r="I48" s="33">
        <f>'Info Pauvreté'!B19</f>
        <v>0</v>
      </c>
      <c r="J48" s="33"/>
      <c r="K48" s="33"/>
      <c r="L48" s="34" t="e">
        <f t="shared" si="5"/>
        <v>#DIV/0!</v>
      </c>
      <c r="M48" s="33"/>
      <c r="N48" s="33"/>
    </row>
    <row r="49" spans="1:14" x14ac:dyDescent="0.3">
      <c r="A49" s="266"/>
      <c r="B49" s="7" t="s">
        <v>16</v>
      </c>
      <c r="C49" s="268"/>
      <c r="D49" s="6" t="s">
        <v>138</v>
      </c>
      <c r="E49" s="6" t="s">
        <v>146</v>
      </c>
      <c r="F49" s="31"/>
      <c r="G49" s="33"/>
      <c r="H49" s="33"/>
      <c r="I49" s="33">
        <f>'Info Pauvreté'!B18</f>
        <v>0</v>
      </c>
      <c r="J49" s="33"/>
      <c r="K49" s="33"/>
      <c r="L49" s="34" t="e">
        <f t="shared" si="5"/>
        <v>#DIV/0!</v>
      </c>
      <c r="M49" s="33"/>
      <c r="N49" s="33"/>
    </row>
    <row r="50" spans="1:14" ht="28.8" x14ac:dyDescent="0.3">
      <c r="A50" s="266"/>
      <c r="B50" s="7" t="s">
        <v>140</v>
      </c>
      <c r="C50" s="268"/>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2026-07-03T20:01:00Z</dcterms:modified>
</cp:coreProperties>
</file>