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panyakangodie\Documents\ILO BIT OIT\"/>
    </mc:Choice>
  </mc:AlternateContent>
  <bookViews>
    <workbookView xWindow="-120" yWindow="-120" windowWidth="20730" windowHeight="11160" activeTab="1"/>
  </bookViews>
  <sheets>
    <sheet name="INSTRUCTIONS" sheetId="38" r:id="rId1"/>
    <sheet name="Inventaire des régimes" sheetId="9" r:id="rId2"/>
    <sheet name="CNSAP Régime de base" sheetId="15" r:id="rId3"/>
    <sheet name="Reforme du transfert" sheetId="272" r:id="rId4"/>
    <sheet name="Régime 11" sheetId="263" state="hidden" r:id="rId5"/>
    <sheet name="Régime 12" sheetId="262" state="hidden" r:id="rId6"/>
    <sheet name="Régime 13" sheetId="261" state="hidden" r:id="rId7"/>
    <sheet name="Régime 14" sheetId="260" state="hidden" r:id="rId8"/>
    <sheet name="Régime 15" sheetId="259" state="hidden" r:id="rId9"/>
    <sheet name="Régime 16" sheetId="258" state="hidden" r:id="rId10"/>
    <sheet name="Régime 17" sheetId="257" state="hidden" r:id="rId11"/>
    <sheet name="Régime 18" sheetId="256" state="hidden" r:id="rId12"/>
    <sheet name="Régime 19" sheetId="255" state="hidden" r:id="rId13"/>
    <sheet name="Régime 20" sheetId="254" state="hidden" r:id="rId14"/>
    <sheet name="Régime 21" sheetId="253" state="hidden" r:id="rId15"/>
    <sheet name="Régime 22" sheetId="252" state="hidden" r:id="rId16"/>
    <sheet name="Régime 23" sheetId="251" state="hidden" r:id="rId17"/>
    <sheet name="Régime 24" sheetId="250" state="hidden" r:id="rId18"/>
    <sheet name="Régime 25" sheetId="249" state="hidden" r:id="rId19"/>
    <sheet name="Régime 26" sheetId="248" state="hidden" r:id="rId20"/>
    <sheet name="Régime 27" sheetId="247" state="hidden" r:id="rId21"/>
    <sheet name="Régime 28" sheetId="246" state="hidden" r:id="rId22"/>
    <sheet name="Régime 29" sheetId="245" state="hidden" r:id="rId23"/>
    <sheet name="Régime 30" sheetId="244" state="hidden" r:id="rId24"/>
    <sheet name="Régime 31" sheetId="243" state="hidden" r:id="rId25"/>
    <sheet name="Régime 32" sheetId="242" state="hidden" r:id="rId26"/>
    <sheet name="Régime 33" sheetId="241" state="hidden" r:id="rId27"/>
    <sheet name="Régime 34" sheetId="240" state="hidden" r:id="rId28"/>
    <sheet name="Régime 35" sheetId="239" state="hidden" r:id="rId29"/>
    <sheet name="Régime 36" sheetId="238" state="hidden" r:id="rId30"/>
    <sheet name="Régime 37" sheetId="237" state="hidden" r:id="rId31"/>
    <sheet name="Régime 38" sheetId="236" state="hidden" r:id="rId32"/>
    <sheet name="Régime 39" sheetId="235" state="hidden" r:id="rId33"/>
    <sheet name="Régime 40" sheetId="234" state="hidden" r:id="rId34"/>
    <sheet name="ADDITIONAL statistics for SDGs" sheetId="36" state="hidden" r:id="rId35"/>
    <sheet name="CALCULATIONS" sheetId="37" state="hidden" r:id="rId36"/>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régimes'!$A$1:$AI$7</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régimes'!$A$1:$AI$7</definedName>
    <definedName name="_xlnm.Print_Area" localSheetId="0">INSTRUCTIONS!$B$1:$C$60</definedName>
    <definedName name="_xlnm.Print_Area" localSheetId="1">'Inventaire des régimes'!$A$1:$AI$7</definedName>
  </definedNames>
  <calcPr calcId="162913"/>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authors>
    <author>Nesterenko, Valeria</author>
    <author>Yu, Zhiming</author>
  </authors>
  <commentList>
    <comment ref="B6" authorId="0" shapeId="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<sst xmlns="http://schemas.openxmlformats.org/spreadsheetml/2006/main" count="2307" uniqueCount="315">
  <si>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</si>
  <si>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</si>
  <si>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</si>
  <si>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</si>
  <si>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</si>
  <si>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</si>
  <si>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</si>
  <si>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</si>
  <si>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</si>
  <si>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</si>
  <si>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</si>
  <si>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</si>
  <si>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</si>
  <si>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</si>
  <si>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</si>
  <si>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</si>
  <si>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</si>
  <si>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</si>
  <si>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</si>
  <si>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</si>
  <si>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</si>
  <si>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</si>
  <si>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</si>
  <si>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</si>
  <si>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</si>
  <si>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</si>
  <si>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</si>
  <si>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</si>
  <si>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</si>
  <si>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</si>
  <si>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</si>
  <si>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</si>
  <si>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</si>
  <si>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</si>
  <si>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</si>
  <si>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</si>
  <si>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</si>
  <si>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</si>
  <si>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</si>
  <si>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</si>
  <si>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</si>
  <si>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</si>
  <si>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</si>
  <si>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</si>
  <si>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</si>
  <si>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</si>
  <si>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</si>
  <si>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</si>
  <si>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</si>
  <si>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</si>
  <si>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</si>
  <si>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</si>
  <si>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</si>
  <si>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</si>
  <si>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</si>
  <si>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</si>
  <si>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</si>
  <si>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</si>
  <si>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</si>
  <si>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</si>
  <si>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</si>
  <si>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</si>
  <si>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</si>
  <si>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</si>
  <si>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</si>
  <si>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</si>
  <si>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</si>
  <si>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</si>
  <si>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</si>
  <si>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</si>
  <si>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</si>
  <si>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</si>
  <si>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</si>
  <si>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</si>
  <si>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</si>
  <si>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</si>
  <si>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</si>
  <si>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</si>
  <si>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</si>
  <si>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</si>
  <si>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</si>
  <si>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</si>
  <si>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</si>
  <si>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</si>
  <si>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</si>
  <si>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</si>
  <si>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</si>
  <si>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</si>
  <si>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</si>
  <si>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</si>
  <si>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</si>
  <si>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</si>
  <si>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</si>
  <si>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</si>
  <si>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</si>
  <si>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</si>
  <si>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</si>
  <si>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</si>
  <si>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</si>
  <si>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</si>
  <si>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</si>
  <si>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</si>
  <si>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</si>
  <si>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</si>
  <si>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</si>
  <si>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</si>
  <si>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</si>
  <si>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</si>
  <si>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</si>
  <si>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</si>
  <si>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</si>
  <si>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</si>
  <si>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</si>
  <si>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</si>
  <si>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</si>
  <si>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</si>
  <si>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</si>
  <si>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</si>
  <si>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</si>
  <si>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</si>
  <si>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</si>
  <si>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</si>
  <si>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</si>
  <si>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</si>
  <si>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</si>
  <si>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</si>
  <si>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</si>
  <si>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</si>
  <si>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</si>
  <si>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</si>
  <si>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</si>
  <si>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</si>
  <si>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</si>
  <si>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</si>
  <si>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</si>
  <si>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</si>
  <si>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</si>
  <si>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</si>
  <si>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</si>
  <si>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</si>
  <si>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</si>
  <si>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</si>
  <si>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</si>
  <si>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</si>
  <si>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</si>
  <si>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</si>
  <si>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</si>
  <si>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</si>
  <si>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</si>
  <si>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</si>
  <si>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</si>
  <si>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</si>
  <si>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</si>
  <si>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</si>
  <si>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</si>
  <si>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</si>
  <si>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</si>
  <si>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</si>
  <si>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</si>
  <si>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</si>
  <si>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</si>
  <si>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</si>
  <si>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</si>
  <si>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</si>
  <si>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</si>
  <si>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</si>
  <si>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</si>
  <si>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</si>
  <si>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</si>
  <si>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</si>
  <si>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</si>
  <si>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</si>
  <si>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</si>
  <si>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</si>
  <si>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</si>
  <si>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</si>
  <si>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</si>
  <si>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</si>
  <si>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</si>
  <si>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</si>
  <si>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</si>
  <si>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</si>
  <si>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</si>
  <si>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</si>
  <si>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</si>
  <si>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</si>
  <si>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</si>
  <si>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</si>
  <si>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</si>
  <si>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</si>
  <si>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</si>
  <si>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</si>
  <si>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</si>
  <si>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</si>
  <si>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</si>
  <si>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</si>
  <si>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</si>
  <si>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</si>
  <si>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</si>
  <si>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</si>
  <si>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</si>
  <si>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</si>
  <si>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</si>
  <si>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</si>
  <si>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</si>
  <si>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</si>
  <si>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</si>
  <si>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</si>
  <si>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</si>
  <si>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</si>
  <si>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</si>
  <si>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</si>
  <si>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</si>
  <si>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</si>
  <si>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</si>
  <si>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</si>
  <si>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</si>
  <si>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</si>
  <si>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</si>
  <si>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</si>
  <si>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</si>
  <si>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</si>
  <si>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</si>
  <si>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</si>
  <si>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</si>
  <si>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</si>
  <si>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</si>
  <si>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</si>
  <si>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</si>
  <si>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</si>
  <si>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</si>
  <si>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</si>
  <si>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</si>
  <si>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</si>
  <si>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</si>
  <si>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</si>
  <si>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</si>
  <si>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</si>
  <si>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</si>
  <si>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</si>
  <si>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</si>
  <si>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</si>
  <si>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</si>
  <si>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</si>
  <si>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</si>
  <si>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</si>
  <si>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</si>
  <si>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</si>
  <si>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</si>
  <si>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</si>
  <si>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</si>
  <si>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</si>
  <si>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</si>
  <si>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</si>
  <si>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</si>
  <si>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</si>
  <si>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</si>
  <si>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</si>
  <si>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</si>
  <si>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</si>
  <si>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</si>
  <si>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</si>
  <si>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</si>
  <si>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</si>
  <si>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</si>
  <si>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</si>
  <si>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</si>
  <si>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</si>
  <si>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</si>
  <si>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</si>
  <si>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</si>
  <si>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</si>
  <si>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Non-contributif</t>
  </si>
  <si>
    <t>Survivants</t>
  </si>
  <si>
    <t>Travailleurs du secteur public</t>
  </si>
  <si>
    <t>Autre (veuillez préciser dans les notes)</t>
  </si>
  <si>
    <t>Personnes âgées</t>
  </si>
  <si>
    <t>Tous ages</t>
  </si>
  <si>
    <t xml:space="preserve">Tous </t>
  </si>
  <si>
    <t>Obligatoire</t>
  </si>
  <si>
    <t>En espèces</t>
  </si>
  <si>
    <t>Périodique</t>
  </si>
  <si>
    <t>Publique</t>
  </si>
  <si>
    <t>Milliards</t>
  </si>
  <si>
    <t>Assurance sociale</t>
  </si>
  <si>
    <t xml:space="preserve">Responsabilité de l’employeur </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</si>
  <si>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</si>
  <si>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</si>
  <si>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</si>
  <si>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</si>
  <si>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</si>
  <si>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</si>
  <si>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</si>
  <si>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</si>
  <si>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</si>
  <si>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</si>
  <si>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</si>
  <si>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 xml:space="preserve">Branche des pensions </t>
  </si>
  <si>
    <t>CNSAP Régime de base</t>
  </si>
  <si>
    <t>Reforme du transfert des assurés du sytème octroyé à la CNSSAP</t>
  </si>
  <si>
    <t>Prestations de la Reforme du transfert des assurés du sytème octroyé à la CNSSAP</t>
  </si>
  <si>
    <t>x</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</si>
  <si>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</si>
  <si>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</si>
  <si>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</si>
  <si>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</si>
  <si>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</si>
  <si>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</si>
  <si>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</si>
  <si>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Les chiffres des conjoints datent de septembre 2022</t>
  </si>
  <si>
    <t>Les chiffres des orphelins date de septembre 2022</t>
  </si>
  <si>
    <t>Le groupe de la populaion est constitué des anciens assurés retraités et rentiers du système octroyé</t>
  </si>
  <si>
    <t>i) Ici les recettes comprennent les produits techniques et les produits d'investissement, ii) le nombre de bénéficiaires est composé exclusivement des retraités</t>
  </si>
  <si>
    <t>i) Ici les recettes comprennent uniquement les produits techniques (droit d'entrée), ii) le nombre de bénéficiaire est composé exclusivement des retraités</t>
  </si>
  <si>
    <t>Pour le total des dépenses la feuille Inventaire des régimes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</si>
</sst>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_-* #,##0_-;\-* #,##0_-;_-* &quot;-&quot;??_-;_-@_-"/>
    <numFmt numFmtId="165" formatCode="0.0"/>
    <numFmt numFmtId="166"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43" fontId="1" fillId="0" borderId="0" applyFon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1">
    <xf numFmtId="0" fontId="0" fillId="0" borderId="0" xfId="0"/>
    <xf numFmtId="0" fontId="0" fillId="0" borderId="0" xfId="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Fill="1" applyBorder="1" applyAlignment="1">
      <alignment vertical="center" wrapText="1"/>
    </xf>
    <xf numFmtId="165" fontId="13" fillId="0" borderId="6" xfId="0" applyNumberFormat="1" applyFont="1" applyFill="1" applyBorder="1" applyAlignment="1">
      <alignment vertical="center" wrapText="1"/>
    </xf>
    <xf numFmtId="0" fontId="0" fillId="0" borderId="0" xfId="0" applyFont="1" applyAlignment="1">
      <alignment wrapText="1"/>
    </xf>
    <xf numFmtId="0" fontId="0" fillId="0" borderId="6" xfId="0" applyFont="1" applyBorder="1" applyAlignment="1">
      <alignment vertical="center" wrapText="1"/>
    </xf>
    <xf numFmtId="0" fontId="0" fillId="0" borderId="6" xfId="0" applyFont="1" applyBorder="1" applyAlignment="1">
      <alignment wrapText="1"/>
    </xf>
    <xf numFmtId="0" fontId="0" fillId="0" borderId="6" xfId="0" applyFont="1" applyBorder="1" applyAlignment="1">
      <alignment horizontal="left" wrapText="1" indent="10"/>
    </xf>
    <xf numFmtId="9" fontId="0" fillId="0" borderId="0" xfId="4" applyFont="1" applyAlignment="1">
      <alignment wrapText="1"/>
    </xf>
    <xf numFmtId="0" fontId="0" fillId="0" borderId="6" xfId="0" applyFont="1" applyFill="1" applyBorder="1" applyAlignment="1">
      <alignment wrapText="1"/>
    </xf>
    <xf numFmtId="1" fontId="0" fillId="4" borderId="6" xfId="0" applyNumberFormat="1" applyFon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ont="1" applyFill="1" applyBorder="1" applyAlignment="1"/>
    <xf numFmtId="1" fontId="0" fillId="4" borderId="4" xfId="0" applyNumberFormat="1" applyFont="1" applyFill="1" applyBorder="1" applyAlignment="1"/>
    <xf numFmtId="1" fontId="0" fillId="4" borderId="8" xfId="0" applyNumberFormat="1" applyFont="1" applyFill="1" applyBorder="1" applyAlignment="1"/>
    <xf numFmtId="0" fontId="0" fillId="4" borderId="8" xfId="0" applyFont="1" applyFill="1" applyBorder="1" applyAlignment="1"/>
    <xf numFmtId="0" fontId="0" fillId="4" borderId="4" xfId="0" applyFont="1" applyFill="1" applyBorder="1"/>
    <xf numFmtId="1" fontId="0" fillId="4" borderId="4" xfId="0" applyNumberFormat="1" applyFont="1" applyFill="1" applyBorder="1"/>
    <xf numFmtId="1" fontId="0" fillId="4" borderId="8" xfId="0" applyNumberFormat="1" applyFont="1" applyFill="1" applyBorder="1"/>
    <xf numFmtId="0" fontId="0" fillId="4" borderId="1" xfId="0" applyFont="1" applyFill="1" applyBorder="1"/>
    <xf numFmtId="1" fontId="0" fillId="4" borderId="1" xfId="0" applyNumberFormat="1" applyFont="1" applyFill="1" applyBorder="1"/>
    <xf numFmtId="1" fontId="0" fillId="0" borderId="0" xfId="0" applyNumberFormat="1" applyFont="1" applyAlignment="1">
      <alignment wrapText="1"/>
    </xf>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Font="1" applyBorder="1" applyAlignment="1">
      <alignment horizontal="center" vertical="center" wrapText="1"/>
    </xf>
    <xf numFmtId="9" fontId="0" fillId="0" borderId="13" xfId="4" applyFont="1" applyBorder="1" applyAlignment="1">
      <alignment horizontal="center" vertical="center" wrapText="1"/>
    </xf>
    <xf numFmtId="0" fontId="0" fillId="0" borderId="6" xfId="0" applyFont="1" applyBorder="1" applyAlignment="1">
      <alignment horizontal="center" vertical="center" wrapText="1"/>
    </xf>
    <xf numFmtId="9" fontId="0" fillId="0" borderId="6" xfId="4" applyFont="1" applyBorder="1" applyAlignment="1">
      <alignment horizontal="center" vertical="center" wrapText="1"/>
    </xf>
    <xf numFmtId="0" fontId="0" fillId="0" borderId="6" xfId="0"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Fill="1" applyBorder="1" applyAlignment="1">
      <alignment horizontal="center"/>
    </xf>
    <xf numFmtId="1" fontId="0" fillId="0" borderId="6" xfId="0" applyNumberFormat="1" applyFont="1" applyBorder="1" applyAlignment="1">
      <alignment horizontal="center" wrapText="1"/>
    </xf>
    <xf numFmtId="0" fontId="0" fillId="0" borderId="6" xfId="0" applyFont="1" applyBorder="1" applyAlignment="1">
      <alignment horizontal="center" wrapText="1"/>
    </xf>
    <xf numFmtId="9" fontId="0" fillId="0" borderId="6" xfId="4" applyFont="1" applyBorder="1" applyAlignment="1">
      <alignment horizontal="center" wrapText="1"/>
    </xf>
    <xf numFmtId="0" fontId="0" fillId="0" borderId="13" xfId="0" applyFont="1" applyBorder="1" applyAlignment="1">
      <alignment wrapText="1"/>
    </xf>
    <xf numFmtId="0" fontId="13" fillId="0" borderId="15" xfId="0" applyFont="1" applyFill="1" applyBorder="1" applyAlignment="1">
      <alignment vertical="center" wrapText="1"/>
    </xf>
    <xf numFmtId="0" fontId="0" fillId="0" borderId="15" xfId="0" applyFont="1" applyBorder="1" applyAlignment="1">
      <alignment vertical="center" wrapText="1"/>
    </xf>
    <xf numFmtId="1" fontId="0" fillId="0" borderId="15" xfId="0" applyNumberFormat="1" applyFon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Fill="1" applyBorder="1" applyAlignment="1">
      <alignment vertical="center" wrapText="1"/>
    </xf>
    <xf numFmtId="0" fontId="0" fillId="0" borderId="8" xfId="0" applyFont="1" applyBorder="1" applyAlignment="1">
      <alignmen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applyAlignment="1"/>
    <xf numFmtId="0" fontId="0" fillId="0" borderId="13" xfId="0" applyBorder="1" applyAlignment="1">
      <alignment wrapText="1"/>
    </xf>
    <xf numFmtId="1" fontId="0" fillId="0" borderId="13" xfId="0" applyNumberFormat="1" applyBorder="1" applyAlignment="1">
      <alignment horizontal="center" wrapText="1"/>
    </xf>
    <xf numFmtId="0" fontId="0" fillId="0" borderId="13" xfId="0" applyBorder="1" applyAlignment="1">
      <alignment horizontal="center" wrapText="1"/>
    </xf>
    <xf numFmtId="1" fontId="0" fillId="0" borderId="13" xfId="0" applyNumberFormat="1" applyFont="1" applyBorder="1" applyAlignment="1">
      <alignment horizontal="center" wrapText="1"/>
    </xf>
    <xf numFmtId="0" fontId="0" fillId="0" borderId="13" xfId="0" applyFont="1" applyBorder="1" applyAlignment="1">
      <alignment horizontal="center" wrapText="1"/>
    </xf>
    <xf numFmtId="9" fontId="0" fillId="0" borderId="13" xfId="4" applyFont="1" applyBorder="1" applyAlignment="1">
      <alignment horizontal="center" wrapText="1"/>
    </xf>
    <xf numFmtId="0" fontId="0" fillId="0" borderId="15" xfId="0" applyFont="1" applyBorder="1" applyAlignment="1">
      <alignment wrapText="1"/>
    </xf>
    <xf numFmtId="0" fontId="0" fillId="0" borderId="0" xfId="0"/>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Fill="1" applyAlignment="1">
      <alignment vertical="top"/>
    </xf>
    <xf numFmtId="0" fontId="21" fillId="0" borderId="0" xfId="0" applyFont="1" applyFill="1" applyBorder="1" applyAlignment="1">
      <alignment horizontal="center" vertical="top"/>
    </xf>
    <xf numFmtId="0" fontId="21" fillId="0" borderId="0" xfId="0" applyFont="1" applyAlignment="1">
      <alignment horizontal="center" vertical="top"/>
    </xf>
    <xf numFmtId="0" fontId="21" fillId="0" borderId="0" xfId="0" applyFont="1" applyFill="1" applyBorder="1" applyAlignment="1">
      <alignment horizontal="left" vertical="top"/>
    </xf>
    <xf numFmtId="0" fontId="21" fillId="0" borderId="0" xfId="0" applyFont="1" applyFill="1" applyBorder="1" applyAlignment="1">
      <alignment vertical="top"/>
    </xf>
    <xf numFmtId="0" fontId="21" fillId="0" borderId="0" xfId="0" applyFont="1" applyBorder="1" applyAlignment="1">
      <alignment vertical="top"/>
    </xf>
    <xf numFmtId="0" fontId="21" fillId="0" borderId="0" xfId="0" applyFont="1" applyBorder="1" applyAlignment="1">
      <alignment horizontal="left" vertical="top"/>
    </xf>
    <xf numFmtId="0" fontId="21" fillId="3" borderId="0" xfId="0" applyFont="1" applyFill="1" applyAlignment="1">
      <alignment vertical="top"/>
    </xf>
    <xf numFmtId="0" fontId="21" fillId="3" borderId="0" xfId="0" applyFont="1" applyFill="1" applyBorder="1" applyAlignment="1">
      <alignment horizontal="left" vertical="top"/>
    </xf>
    <xf numFmtId="0" fontId="21" fillId="3" borderId="0" xfId="0" applyFont="1" applyFill="1" applyAlignment="1">
      <alignment vertical="top" wrapText="1"/>
    </xf>
    <xf numFmtId="0" fontId="21" fillId="3" borderId="0" xfId="0" applyFont="1" applyFill="1" applyAlignment="1">
      <alignment horizontal="left" vertical="top"/>
    </xf>
    <xf numFmtId="0" fontId="21" fillId="3" borderId="0" xfId="0" applyFont="1" applyFill="1" applyBorder="1" applyAlignment="1">
      <alignment vertical="top"/>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applyProtection="1"/>
    <xf numFmtId="0" fontId="21" fillId="3" borderId="0" xfId="0" applyFont="1" applyFill="1" applyBorder="1" applyAlignment="1" applyProtection="1">
      <alignment horizontal="center" vertical="top"/>
    </xf>
    <xf numFmtId="0" fontId="21" fillId="3" borderId="0" xfId="0" applyFont="1" applyFill="1" applyAlignment="1" applyProtection="1">
      <alignment vertical="top"/>
    </xf>
    <xf numFmtId="0" fontId="21" fillId="3" borderId="0" xfId="0" applyFont="1" applyFill="1" applyAlignment="1" applyProtection="1">
      <alignment horizontal="center" vertical="top"/>
    </xf>
    <xf numFmtId="0" fontId="21" fillId="3" borderId="0" xfId="0" applyFont="1" applyFill="1" applyBorder="1" applyProtection="1"/>
    <xf numFmtId="0" fontId="29" fillId="9" borderId="6" xfId="0" applyFont="1" applyFill="1" applyBorder="1" applyAlignment="1" applyProtection="1">
      <alignment horizontal="center"/>
    </xf>
    <xf numFmtId="0" fontId="26" fillId="3" borderId="0" xfId="0" applyFont="1" applyFill="1" applyAlignment="1" applyProtection="1">
      <alignment horizontal="left" vertical="top"/>
    </xf>
    <xf numFmtId="0" fontId="33" fillId="2" borderId="5" xfId="0" applyFont="1" applyFill="1" applyBorder="1" applyAlignment="1" applyProtection="1">
      <alignment vertical="center" wrapText="1"/>
    </xf>
    <xf numFmtId="0" fontId="33" fillId="2" borderId="5" xfId="0" applyFont="1" applyFill="1" applyBorder="1" applyAlignment="1" applyProtection="1">
      <alignment vertical="center"/>
    </xf>
    <xf numFmtId="0" fontId="33" fillId="2" borderId="2" xfId="0" applyFont="1" applyFill="1" applyBorder="1" applyAlignment="1" applyProtection="1">
      <alignment vertical="center"/>
    </xf>
    <xf numFmtId="0" fontId="33" fillId="2" borderId="3" xfId="0" applyFont="1" applyFill="1" applyBorder="1" applyAlignment="1" applyProtection="1">
      <alignment vertical="center"/>
    </xf>
    <xf numFmtId="0" fontId="21" fillId="3" borderId="0" xfId="0" applyFont="1" applyFill="1" applyAlignment="1" applyProtection="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pplyProtection="1">
      <alignment horizontal="left" vertical="top"/>
    </xf>
    <xf numFmtId="0" fontId="23" fillId="16" borderId="0" xfId="0" applyFont="1" applyFill="1" applyBorder="1" applyAlignment="1" applyProtection="1">
      <alignment horizontal="left" vertical="top" wrapText="1"/>
      <protection locked="0"/>
    </xf>
    <xf numFmtId="0" fontId="20" fillId="0" borderId="0" xfId="0" applyFont="1" applyFill="1" applyBorder="1" applyAlignment="1">
      <alignment horizontal="right" vertical="top"/>
    </xf>
    <xf numFmtId="0" fontId="21" fillId="3" borderId="0" xfId="0" applyFont="1" applyFill="1" applyAlignment="1" applyProtection="1">
      <alignment vertical="top"/>
      <protection locked="0"/>
    </xf>
    <xf numFmtId="0" fontId="21" fillId="3" borderId="0" xfId="0" applyFont="1" applyFill="1" applyBorder="1" applyAlignment="1" applyProtection="1">
      <alignment horizontal="left" vertical="top"/>
      <protection locked="0"/>
    </xf>
    <xf numFmtId="0" fontId="21" fillId="0" borderId="0" xfId="0" applyFont="1" applyFill="1" applyBorder="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pplyProtection="1">
      <alignment vertical="center"/>
    </xf>
    <xf numFmtId="0" fontId="29" fillId="3" borderId="0" xfId="0" applyFont="1" applyFill="1" applyAlignment="1" applyProtection="1">
      <alignment horizontal="right" vertical="top"/>
    </xf>
    <xf numFmtId="0" fontId="20" fillId="0" borderId="0" xfId="0" applyFont="1" applyFill="1" applyBorder="1" applyAlignment="1">
      <alignment horizontal="left" vertical="top"/>
    </xf>
    <xf numFmtId="0" fontId="21" fillId="0" borderId="0" xfId="0" applyFont="1" applyAlignment="1">
      <alignment horizontal="left" vertical="top"/>
    </xf>
    <xf numFmtId="0" fontId="26" fillId="3" borderId="11" xfId="0" applyFont="1" applyFill="1" applyBorder="1" applyAlignment="1" applyProtection="1">
      <alignment horizontal="center"/>
    </xf>
    <xf numFmtId="0" fontId="26" fillId="0" borderId="11" xfId="0" applyFont="1" applyBorder="1" applyAlignment="1" applyProtection="1">
      <alignment horizontal="center"/>
      <protection locked="0"/>
    </xf>
    <xf numFmtId="0" fontId="21" fillId="3" borderId="0" xfId="0" applyFont="1" applyFill="1" applyBorder="1" applyAlignment="1" applyProtection="1">
      <alignment horizontal="left" vertical="top"/>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Fill="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0" fontId="26" fillId="3" borderId="0" xfId="0" applyFont="1" applyFill="1" applyBorder="1" applyAlignment="1" applyProtection="1">
      <alignment horizontal="left" vertical="top"/>
    </xf>
    <xf numFmtId="164"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Border="1" applyAlignment="1" applyProtection="1">
      <alignment horizontal="left" vertical="top"/>
      <protection locked="0"/>
    </xf>
    <xf numFmtId="164"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Border="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pplyProtection="1">
      <alignment horizontal="center" textRotation="90" wrapText="1"/>
    </xf>
    <xf numFmtId="0" fontId="21" fillId="6" borderId="8" xfId="0" applyFont="1" applyFill="1" applyBorder="1" applyAlignment="1" applyProtection="1">
      <alignment horizontal="center" vertical="center" wrapText="1"/>
    </xf>
    <xf numFmtId="0" fontId="21" fillId="6" borderId="6" xfId="0" applyFont="1" applyFill="1" applyBorder="1" applyAlignment="1" applyProtection="1">
      <alignment horizontal="center" vertical="center" wrapText="1"/>
    </xf>
    <xf numFmtId="0" fontId="21" fillId="6" borderId="1" xfId="0" applyFont="1" applyFill="1" applyBorder="1" applyAlignment="1" applyProtection="1">
      <alignment horizontal="center" vertical="center" wrapText="1"/>
    </xf>
    <xf numFmtId="0" fontId="21" fillId="6" borderId="0" xfId="0" applyFont="1" applyFill="1" applyBorder="1" applyAlignment="1" applyProtection="1">
      <alignment vertical="center" textRotation="90" wrapText="1"/>
    </xf>
    <xf numFmtId="0" fontId="31" fillId="6" borderId="13" xfId="0" applyFont="1" applyFill="1" applyBorder="1" applyAlignment="1" applyProtection="1">
      <alignment vertical="center" wrapText="1"/>
    </xf>
    <xf numFmtId="0" fontId="31" fillId="6" borderId="13" xfId="0" applyFont="1" applyFill="1" applyBorder="1" applyAlignment="1" applyProtection="1">
      <alignment horizontal="center" vertical="center" wrapText="1"/>
    </xf>
    <xf numFmtId="0" fontId="31" fillId="6" borderId="10" xfId="0" applyFont="1" applyFill="1" applyBorder="1" applyAlignment="1" applyProtection="1">
      <alignment vertical="center" wrapText="1"/>
    </xf>
    <xf numFmtId="0" fontId="34" fillId="6" borderId="6" xfId="0" applyFont="1" applyFill="1" applyBorder="1" applyAlignment="1" applyProtection="1">
      <alignment horizontal="center" vertical="center" wrapText="1"/>
    </xf>
    <xf numFmtId="0" fontId="21" fillId="6" borderId="4" xfId="0" applyFont="1" applyFill="1" applyBorder="1" applyAlignment="1" applyProtection="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pplyProtection="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pplyProtection="1">
      <alignment vertical="center" wrapText="1"/>
    </xf>
    <xf numFmtId="0" fontId="21" fillId="6" borderId="10" xfId="0" applyFont="1" applyFill="1" applyBorder="1" applyAlignment="1" applyProtection="1">
      <alignment vertical="center"/>
    </xf>
    <xf numFmtId="0" fontId="21" fillId="6" borderId="13" xfId="0" applyFont="1" applyFill="1" applyBorder="1" applyAlignment="1" applyProtection="1">
      <alignment vertical="center"/>
    </xf>
    <xf numFmtId="0" fontId="35" fillId="6" borderId="6" xfId="0" applyFont="1" applyFill="1" applyBorder="1" applyAlignment="1" applyProtection="1">
      <alignment horizontal="center" vertical="center"/>
    </xf>
    <xf numFmtId="0" fontId="21" fillId="6" borderId="6" xfId="0" applyFont="1" applyFill="1" applyBorder="1" applyAlignment="1" applyProtection="1">
      <alignment horizontal="center" vertical="center"/>
    </xf>
    <xf numFmtId="0" fontId="34" fillId="6" borderId="6" xfId="0" applyFont="1" applyFill="1" applyBorder="1" applyAlignment="1" applyProtection="1">
      <alignment horizontal="center" vertical="center"/>
    </xf>
    <xf numFmtId="0" fontId="24" fillId="6" borderId="13" xfId="0" applyFont="1" applyFill="1" applyBorder="1" applyAlignment="1" applyProtection="1">
      <alignment vertical="center"/>
    </xf>
    <xf numFmtId="0" fontId="21" fillId="6" borderId="4" xfId="0" applyFont="1" applyFill="1" applyBorder="1" applyAlignment="1" applyProtection="1">
      <alignment horizontal="center" vertical="center"/>
    </xf>
    <xf numFmtId="0" fontId="21" fillId="6" borderId="8" xfId="0" applyFont="1" applyFill="1" applyBorder="1" applyAlignment="1" applyProtection="1">
      <alignment horizontal="center" vertical="center"/>
    </xf>
    <xf numFmtId="0" fontId="20" fillId="6" borderId="6" xfId="0" applyNumberFormat="1" applyFont="1" applyFill="1" applyBorder="1" applyAlignment="1" applyProtection="1">
      <alignment horizontal="left" vertical="top" wrapText="1"/>
    </xf>
    <xf numFmtId="0" fontId="36" fillId="6" borderId="6" xfId="0" applyNumberFormat="1" applyFont="1" applyFill="1" applyBorder="1" applyAlignment="1" applyProtection="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0" fontId="41"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ont="1" applyFill="1" applyBorder="1" applyAlignment="1"/>
    <xf numFmtId="1" fontId="0" fillId="4" borderId="13" xfId="0" applyNumberFormat="1" applyFont="1" applyFill="1" applyBorder="1" applyAlignment="1"/>
    <xf numFmtId="0" fontId="0" fillId="4" borderId="6" xfId="0" applyFont="1" applyFill="1" applyBorder="1" applyAlignment="1"/>
    <xf numFmtId="1" fontId="0" fillId="4" borderId="6" xfId="0" applyNumberFormat="1" applyFont="1" applyFill="1" applyBorder="1" applyAlignment="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Border="1" applyAlignment="1" applyProtection="1">
      <alignment horizontal="left" vertical="top"/>
      <protection locked="0"/>
    </xf>
    <xf numFmtId="166"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6" fontId="21" fillId="3" borderId="0" xfId="0" applyNumberFormat="1" applyFont="1" applyFill="1" applyBorder="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left" vertical="top" wrapText="1" indent="1"/>
      <protection locked="0"/>
    </xf>
    <xf numFmtId="3" fontId="21" fillId="7" borderId="3" xfId="0" applyNumberFormat="1" applyFont="1" applyFill="1" applyBorder="1" applyAlignment="1" applyProtection="1">
      <alignment horizontal="left" vertical="top" wrapText="1" indent="1"/>
      <protection locked="0"/>
    </xf>
    <xf numFmtId="49" fontId="24" fillId="0" borderId="12" xfId="0" applyNumberFormat="1" applyFont="1" applyBorder="1" applyAlignment="1" applyProtection="1">
      <alignment horizontal="left" vertical="top" wrapText="1"/>
      <protection locked="0"/>
    </xf>
    <xf numFmtId="3" fontId="21" fillId="5" borderId="13" xfId="0" applyNumberFormat="1" applyFont="1" applyFill="1" applyBorder="1" applyAlignment="1" applyProtection="1">
      <alignment vertical="top" wrapText="1"/>
      <protection locked="0"/>
    </xf>
    <xf numFmtId="3" fontId="21" fillId="5" borderId="6" xfId="0" applyNumberFormat="1" applyFont="1" applyFill="1" applyBorder="1" applyAlignment="1" applyProtection="1">
      <alignment vertical="top" wrapText="1"/>
      <protection locked="0"/>
    </xf>
    <xf numFmtId="3" fontId="21" fillId="7" borderId="12" xfId="0" applyNumberFormat="1" applyFont="1" applyFill="1" applyBorder="1" applyAlignment="1" applyProtection="1">
      <alignment horizontal="center" vertical="top" wrapText="1"/>
      <protection locked="0"/>
    </xf>
    <xf numFmtId="3" fontId="21" fillId="7" borderId="12" xfId="0" applyNumberFormat="1" applyFont="1" applyFill="1" applyBorder="1" applyAlignment="1" applyProtection="1">
      <alignment horizontal="left" vertical="top" wrapText="1"/>
      <protection locked="0"/>
    </xf>
    <xf numFmtId="0" fontId="21" fillId="6" borderId="1" xfId="0" applyFont="1" applyFill="1" applyBorder="1" applyAlignment="1" applyProtection="1">
      <alignment horizontal="center" vertical="center" wrapText="1"/>
    </xf>
    <xf numFmtId="0" fontId="21" fillId="6" borderId="2" xfId="0" applyFont="1" applyFill="1" applyBorder="1" applyAlignment="1" applyProtection="1">
      <alignment horizontal="center" vertical="center" wrapText="1"/>
    </xf>
    <xf numFmtId="0" fontId="21" fillId="6" borderId="3" xfId="0" applyFont="1" applyFill="1" applyBorder="1" applyAlignment="1" applyProtection="1">
      <alignment horizontal="center" vertical="center" wrapText="1"/>
    </xf>
    <xf numFmtId="0" fontId="21" fillId="6" borderId="8" xfId="0" applyFont="1" applyFill="1" applyBorder="1" applyAlignment="1" applyProtection="1">
      <alignment horizontal="center" textRotation="90" wrapText="1"/>
    </xf>
    <xf numFmtId="0" fontId="21" fillId="6" borderId="13" xfId="0" applyFont="1" applyFill="1" applyBorder="1" applyAlignment="1" applyProtection="1">
      <alignment horizontal="center" textRotation="90" wrapText="1"/>
    </xf>
    <xf numFmtId="0" fontId="44" fillId="3" borderId="0" xfId="2" applyFont="1" applyFill="1" applyBorder="1" applyAlignment="1" applyProtection="1">
      <alignment horizontal="left" vertical="top"/>
      <protection locked="0"/>
    </xf>
    <xf numFmtId="4" fontId="21" fillId="17" borderId="8" xfId="0" applyNumberFormat="1" applyFont="1" applyFill="1" applyBorder="1" applyAlignment="1" applyProtection="1">
      <alignment horizontal="right" vertical="center" wrapText="1"/>
      <protection locked="0"/>
    </xf>
    <xf numFmtId="4" fontId="21" fillId="17" borderId="13" xfId="0" applyNumberFormat="1" applyFont="1" applyFill="1" applyBorder="1" applyAlignment="1" applyProtection="1">
      <alignment horizontal="right" vertical="center" wrapText="1"/>
      <protection locked="0"/>
    </xf>
    <xf numFmtId="0" fontId="20" fillId="6" borderId="1" xfId="0" applyFont="1" applyFill="1" applyBorder="1" applyAlignment="1" applyProtection="1">
      <alignment horizontal="center" vertical="center" wrapText="1"/>
    </xf>
    <xf numFmtId="0" fontId="20" fillId="6" borderId="2" xfId="0" applyFont="1" applyFill="1" applyBorder="1" applyAlignment="1" applyProtection="1">
      <alignment horizontal="center" vertical="center" wrapText="1"/>
    </xf>
    <xf numFmtId="0" fontId="20" fillId="6" borderId="3" xfId="0" applyFont="1" applyFill="1" applyBorder="1" applyAlignment="1" applyProtection="1">
      <alignment horizontal="center" vertical="center" wrapText="1"/>
    </xf>
    <xf numFmtId="3" fontId="21" fillId="5" borderId="8" xfId="1" applyNumberFormat="1" applyFont="1" applyFill="1" applyBorder="1" applyAlignment="1" applyProtection="1">
      <alignment horizontal="center" vertical="top" wrapText="1"/>
      <protection locked="0"/>
    </xf>
    <xf numFmtId="3" fontId="21" fillId="5" borderId="9" xfId="1" applyNumberFormat="1" applyFont="1" applyFill="1" applyBorder="1" applyAlignment="1" applyProtection="1">
      <alignment horizontal="center" vertical="top" wrapText="1"/>
      <protection locked="0"/>
    </xf>
    <xf numFmtId="3" fontId="21" fillId="5" borderId="13" xfId="1" applyNumberFormat="1" applyFont="1" applyFill="1" applyBorder="1" applyAlignment="1" applyProtection="1">
      <alignment horizontal="center" vertical="top" wrapText="1"/>
      <protection locked="0"/>
    </xf>
    <xf numFmtId="0" fontId="29" fillId="8" borderId="6" xfId="0" applyFont="1" applyFill="1" applyBorder="1" applyAlignment="1" applyProtection="1">
      <alignment horizontal="center"/>
    </xf>
    <xf numFmtId="0" fontId="29" fillId="5" borderId="6" xfId="0" applyFont="1" applyFill="1" applyBorder="1" applyAlignment="1" applyProtection="1">
      <alignment horizontal="center"/>
    </xf>
    <xf numFmtId="0" fontId="29" fillId="7" borderId="6" xfId="0" applyFont="1" applyFill="1" applyBorder="1" applyAlignment="1" applyProtection="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Font="1" applyBorder="1" applyAlignment="1">
      <alignment horizontal="left" vertical="center" wrapText="1"/>
    </xf>
    <xf numFmtId="1" fontId="0" fillId="0" borderId="8" xfId="0" applyNumberFormat="1" applyFont="1" applyBorder="1" applyAlignment="1">
      <alignment horizontal="center" vertical="center" wrapText="1"/>
    </xf>
    <xf numFmtId="0" fontId="0" fillId="0" borderId="8" xfId="0" applyFont="1" applyBorder="1" applyAlignment="1">
      <alignment horizontal="left" vertical="center" wrapText="1"/>
    </xf>
    <xf numFmtId="0" fontId="0" fillId="0" borderId="9" xfId="0" applyFont="1" applyBorder="1" applyAlignment="1">
      <alignment horizontal="left" vertical="center" wrapText="1"/>
    </xf>
    <xf numFmtId="0" fontId="0" fillId="0" borderId="13" xfId="0" applyFont="1" applyBorder="1" applyAlignment="1">
      <alignment horizontal="left" vertical="center" wrapText="1"/>
    </xf>
  </cellXfs>
  <cellStyles count="7">
    <cellStyle name="Accent3" xfId="6" builtinId="37"/>
    <cellStyle name="Comma 2" xfId="3"/>
    <cellStyle name="Lien hypertexte" xfId="2" builtinId="8"/>
    <cellStyle name="Milliers" xfId="1" builtinId="3"/>
    <cellStyle name="Normal" xfId="0" builtinId="0"/>
    <cellStyle name="Pourcentage" xfId="4" builtinId="5"/>
    <cellStyle name="Satisfaisant" xfId="5" builtinId="26"/>
  </cellStyles>
  <dxfs count="132">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210675"/>
          <a:ext cx="10477500" cy="723900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C68"/>
  <sheetViews>
    <sheetView topLeftCell="A20" zoomScaleNormal="100" workbookViewId="0">
      <selection activeCell="B60" sqref="B60"/>
    </sheetView>
  </sheetViews>
  <sheetFormatPr baseColWidth="10" defaultColWidth="0" defaultRowHeight="15" customHeight="1" zeroHeight="1" x14ac:dyDescent="0.25"/>
  <cols>
    <col min="1" max="1" width="2.5703125" style="63" customWidth="1"/>
    <col min="2" max="2" width="155.140625" style="63" customWidth="1"/>
    <col min="3" max="3" width="2" style="63" customWidth="1"/>
    <col min="4" max="16384" width="9.140625" style="63" hidden="1"/>
  </cols>
  <sheetData>
    <row r="1" spans="1:3" x14ac:dyDescent="0.25">
      <c r="A1" s="64"/>
      <c r="B1" s="64"/>
      <c r="C1" s="64"/>
    </row>
    <row r="2" spans="1:3" x14ac:dyDescent="0.25">
      <c r="A2" s="64"/>
      <c r="B2" s="64"/>
      <c r="C2" s="64"/>
    </row>
    <row r="3" spans="1:3" x14ac:dyDescent="0.25">
      <c r="A3" s="64"/>
      <c r="B3" s="64"/>
      <c r="C3" s="64"/>
    </row>
    <row r="4" spans="1:3" x14ac:dyDescent="0.25">
      <c r="A4" s="64"/>
      <c r="B4" s="64"/>
      <c r="C4" s="64"/>
    </row>
    <row r="5" spans="1:3" x14ac:dyDescent="0.25">
      <c r="A5" s="64"/>
      <c r="B5" s="64"/>
      <c r="C5" s="64"/>
    </row>
    <row r="6" spans="1:3" x14ac:dyDescent="0.25">
      <c r="A6" s="64"/>
      <c r="B6" s="64"/>
      <c r="C6" s="64"/>
    </row>
    <row r="7" spans="1:3" x14ac:dyDescent="0.25">
      <c r="A7" s="64"/>
      <c r="B7" s="64"/>
      <c r="C7" s="64"/>
    </row>
    <row r="8" spans="1:3" s="67" customFormat="1" ht="20.25" x14ac:dyDescent="0.25">
      <c r="A8" s="66"/>
      <c r="B8" s="69" t="s">
        <v>11</v>
      </c>
      <c r="C8" s="66"/>
    </row>
    <row r="9" spans="1:3" s="67" customFormat="1" x14ac:dyDescent="0.25">
      <c r="A9" s="66"/>
      <c r="B9" s="68"/>
      <c r="C9" s="66"/>
    </row>
    <row r="10" spans="1:3" s="67" customFormat="1" x14ac:dyDescent="0.25">
      <c r="A10" s="66"/>
      <c r="B10" s="126" t="s">
        <v>177</v>
      </c>
      <c r="C10" s="66"/>
    </row>
    <row r="11" spans="1:3" s="67" customFormat="1" x14ac:dyDescent="0.25">
      <c r="A11" s="66"/>
      <c r="B11" s="127"/>
      <c r="C11" s="66"/>
    </row>
    <row r="12" spans="1:3" s="67" customFormat="1" ht="33.75" x14ac:dyDescent="0.25">
      <c r="A12" s="66"/>
      <c r="B12" s="127" t="s">
        <v>178</v>
      </c>
      <c r="C12" s="66"/>
    </row>
    <row r="13" spans="1:3" s="67" customFormat="1" x14ac:dyDescent="0.25">
      <c r="A13" s="66"/>
      <c r="B13" s="127"/>
      <c r="C13" s="66"/>
    </row>
    <row r="14" spans="1:3" s="67" customFormat="1" ht="45" x14ac:dyDescent="0.25">
      <c r="A14" s="66"/>
      <c r="B14" s="127" t="s">
        <v>179</v>
      </c>
      <c r="C14" s="66"/>
    </row>
    <row r="15" spans="1:3" s="67" customFormat="1" x14ac:dyDescent="0.25">
      <c r="A15" s="66"/>
      <c r="B15" s="127"/>
      <c r="C15" s="66"/>
    </row>
    <row r="16" spans="1:3" s="67" customFormat="1" x14ac:dyDescent="0.25">
      <c r="A16" s="66"/>
      <c r="B16" s="127" t="s">
        <v>188</v>
      </c>
      <c r="C16" s="66"/>
    </row>
    <row r="17" spans="1:3" s="67" customFormat="1" x14ac:dyDescent="0.25">
      <c r="A17" s="66"/>
      <c r="B17" s="66"/>
      <c r="C17" s="66"/>
    </row>
    <row r="18" spans="1:3" s="67" customFormat="1" ht="20.25" x14ac:dyDescent="0.25">
      <c r="A18" s="66"/>
      <c r="B18" s="128" t="s">
        <v>180</v>
      </c>
      <c r="C18" s="66"/>
    </row>
    <row r="19" spans="1:3" s="67" customFormat="1" x14ac:dyDescent="0.25">
      <c r="A19" s="66"/>
      <c r="B19" s="66"/>
      <c r="C19" s="66"/>
    </row>
    <row r="20" spans="1:3" s="67" customFormat="1" ht="98.25" customHeight="1" x14ac:dyDescent="0.25">
      <c r="A20" s="66"/>
      <c r="B20" s="129">
        <v>0</v>
      </c>
      <c r="C20" s="66"/>
    </row>
    <row r="21" spans="1:3" s="67" customFormat="1" ht="25.5" x14ac:dyDescent="0.25">
      <c r="A21" s="66"/>
      <c r="B21" s="130" t="s">
        <v>181</v>
      </c>
      <c r="C21" s="66"/>
    </row>
    <row r="22" spans="1:3" s="67" customFormat="1" ht="47.25" customHeight="1" x14ac:dyDescent="0.25">
      <c r="A22" s="66"/>
      <c r="B22" s="129" t="s">
        <v>182</v>
      </c>
      <c r="C22" s="66"/>
    </row>
    <row r="23" spans="1:3" s="67" customFormat="1" ht="63.75" x14ac:dyDescent="0.25">
      <c r="A23" s="66"/>
      <c r="B23" s="130" t="s">
        <v>183</v>
      </c>
      <c r="C23" s="66"/>
    </row>
    <row r="24" spans="1:3" s="67" customFormat="1" ht="63" customHeight="1" x14ac:dyDescent="0.25">
      <c r="A24" s="66"/>
      <c r="B24" s="129" t="s">
        <v>184</v>
      </c>
      <c r="C24" s="66"/>
    </row>
    <row r="25" spans="1:3" s="67" customFormat="1" ht="38.25" x14ac:dyDescent="0.25">
      <c r="A25" s="66"/>
      <c r="B25" s="130" t="s">
        <v>185</v>
      </c>
      <c r="C25" s="66"/>
    </row>
    <row r="26" spans="1:3" x14ac:dyDescent="0.25">
      <c r="A26" s="64"/>
      <c r="B26" s="64"/>
      <c r="C26" s="64"/>
    </row>
    <row r="27" spans="1:3" x14ac:dyDescent="0.25">
      <c r="A27" s="64"/>
      <c r="B27" s="64"/>
      <c r="C27" s="64"/>
    </row>
    <row r="28" spans="1:3" x14ac:dyDescent="0.25">
      <c r="A28" s="64"/>
      <c r="B28" s="64"/>
      <c r="C28" s="64"/>
    </row>
    <row r="29" spans="1:3" x14ac:dyDescent="0.25">
      <c r="A29" s="64"/>
      <c r="B29" s="64"/>
      <c r="C29" s="64"/>
    </row>
    <row r="30" spans="1:3" x14ac:dyDescent="0.25">
      <c r="A30" s="64"/>
      <c r="B30" s="64"/>
      <c r="C30" s="64"/>
    </row>
    <row r="31" spans="1:3" x14ac:dyDescent="0.25">
      <c r="A31" s="64"/>
      <c r="B31" s="64"/>
      <c r="C31" s="64"/>
    </row>
    <row r="32" spans="1:3" x14ac:dyDescent="0.25">
      <c r="A32" s="64"/>
      <c r="B32" s="64"/>
      <c r="C32" s="64"/>
    </row>
    <row r="33" spans="1:3" x14ac:dyDescent="0.25">
      <c r="A33" s="64"/>
      <c r="B33" s="64"/>
      <c r="C33" s="64"/>
    </row>
    <row r="34" spans="1:3" x14ac:dyDescent="0.25">
      <c r="A34" s="64"/>
      <c r="B34" s="64"/>
      <c r="C34" s="64"/>
    </row>
    <row r="35" spans="1:3" x14ac:dyDescent="0.25">
      <c r="A35" s="64"/>
      <c r="B35" s="64"/>
      <c r="C35" s="64"/>
    </row>
    <row r="36" spans="1:3" x14ac:dyDescent="0.25">
      <c r="A36" s="64"/>
      <c r="B36" s="64"/>
      <c r="C36" s="64"/>
    </row>
    <row r="37" spans="1:3" x14ac:dyDescent="0.25">
      <c r="A37" s="64"/>
      <c r="B37" s="64"/>
      <c r="C37" s="64"/>
    </row>
    <row r="38" spans="1:3" x14ac:dyDescent="0.25">
      <c r="A38" s="64"/>
      <c r="B38" s="64"/>
      <c r="C38" s="64"/>
    </row>
    <row r="39" spans="1:3" x14ac:dyDescent="0.25">
      <c r="A39" s="64"/>
      <c r="B39" s="64"/>
      <c r="C39" s="64"/>
    </row>
    <row r="40" spans="1:3" x14ac:dyDescent="0.25">
      <c r="A40" s="64"/>
      <c r="B40" s="64"/>
      <c r="C40" s="64"/>
    </row>
    <row r="41" spans="1:3" x14ac:dyDescent="0.25">
      <c r="A41" s="64"/>
      <c r="B41" s="64"/>
      <c r="C41" s="64"/>
    </row>
    <row r="42" spans="1:3" x14ac:dyDescent="0.25">
      <c r="A42" s="64"/>
      <c r="B42" s="64"/>
      <c r="C42" s="64"/>
    </row>
    <row r="43" spans="1:3" x14ac:dyDescent="0.25">
      <c r="A43" s="64"/>
      <c r="B43" s="64"/>
      <c r="C43" s="64"/>
    </row>
    <row r="44" spans="1:3" x14ac:dyDescent="0.25">
      <c r="A44" s="64"/>
      <c r="B44" s="64"/>
      <c r="C44" s="64"/>
    </row>
    <row r="45" spans="1:3" x14ac:dyDescent="0.25">
      <c r="A45" s="64"/>
      <c r="B45" s="64"/>
      <c r="C45" s="64"/>
    </row>
    <row r="46" spans="1:3" x14ac:dyDescent="0.25">
      <c r="A46" s="64"/>
      <c r="B46" s="64"/>
      <c r="C46" s="64"/>
    </row>
    <row r="47" spans="1:3" x14ac:dyDescent="0.25">
      <c r="A47" s="64"/>
      <c r="B47" s="64"/>
      <c r="C47" s="64"/>
    </row>
    <row r="48" spans="1:3" x14ac:dyDescent="0.25">
      <c r="A48" s="64"/>
      <c r="B48" s="64"/>
      <c r="C48" s="64"/>
    </row>
    <row r="49" spans="1:3" x14ac:dyDescent="0.25">
      <c r="A49" s="64"/>
      <c r="B49" s="64"/>
      <c r="C49" s="64"/>
    </row>
    <row r="50" spans="1:3" x14ac:dyDescent="0.25">
      <c r="A50" s="64"/>
      <c r="B50" s="64"/>
      <c r="C50" s="64"/>
    </row>
    <row r="51" spans="1:3" x14ac:dyDescent="0.25">
      <c r="A51" s="64"/>
      <c r="B51" s="64"/>
      <c r="C51" s="64"/>
    </row>
    <row r="52" spans="1:3" x14ac:dyDescent="0.25">
      <c r="A52" s="64"/>
      <c r="B52" s="64"/>
      <c r="C52" s="64"/>
    </row>
    <row r="53" spans="1:3" x14ac:dyDescent="0.25">
      <c r="A53" s="64"/>
      <c r="B53" s="64"/>
      <c r="C53" s="64"/>
    </row>
    <row r="54" spans="1:3" x14ac:dyDescent="0.25">
      <c r="A54" s="64"/>
      <c r="B54" s="64"/>
      <c r="C54" s="64"/>
    </row>
    <row r="55" spans="1:3" x14ac:dyDescent="0.25">
      <c r="A55" s="64"/>
      <c r="B55" s="64"/>
      <c r="C55" s="64"/>
    </row>
    <row r="56" spans="1:3" x14ac:dyDescent="0.25">
      <c r="A56" s="64"/>
      <c r="B56" s="64"/>
      <c r="C56" s="64"/>
    </row>
    <row r="57" spans="1:3" x14ac:dyDescent="0.25">
      <c r="A57" s="64"/>
      <c r="B57" s="64"/>
      <c r="C57" s="64"/>
    </row>
    <row r="58" spans="1:3" x14ac:dyDescent="0.25">
      <c r="A58" s="64"/>
      <c r="B58" s="65"/>
      <c r="C58" s="64"/>
    </row>
    <row r="59" spans="1:3" x14ac:dyDescent="0.25">
      <c r="A59" s="64"/>
      <c r="B59" s="65"/>
      <c r="C59" s="64"/>
    </row>
    <row r="60" spans="1:3" x14ac:dyDescent="0.25">
      <c r="A60" s="64"/>
      <c r="B60" s="64"/>
      <c r="C60" s="64"/>
    </row>
    <row r="61" spans="1:3" x14ac:dyDescent="0.25">
      <c r="B61" s="64"/>
    </row>
    <row r="62" spans="1:3" hidden="1" x14ac:dyDescent="0.25">
      <c r="B62" s="65" t="s">
        <v>186</v>
      </c>
    </row>
    <row r="63" spans="1:3" hidden="1" x14ac:dyDescent="0.25">
      <c r="B63" s="65" t="s">
        <v>187</v>
      </c>
    </row>
    <row r="64" spans="1:3" x14ac:dyDescent="0.25"/>
    <row r="65" x14ac:dyDescent="0.25"/>
    <row r="66" x14ac:dyDescent="0.25"/>
    <row r="67" x14ac:dyDescent="0.25"/>
    <row r="68" x14ac:dyDescent="0.25"/>
  </sheetData>
  <hyperlinks>
    <hyperlink ref="B10" r:id="rId1" display="(1) Veuillez suivre les instructions figurant dans le le Guide technique http://www.social-protection.org/gimi/ShowTheme.action?id=10"/>
    <hyperlink ref="B16" r:id="rId2" display="(4) Send the completed questionnaire to socprodata@ilo.org by June 30, 2018."/>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ventory">
    <pageSetUpPr autoPageBreaks="0" fitToPage="1"/>
  </sheetPr>
  <dimension ref="A1:WWV79"/>
  <sheetViews>
    <sheetView tabSelected="1" workbookViewId="0">
      <pane xSplit="2" ySplit="5" topLeftCell="Q6" activePane="bottomRight" state="frozen"/>
      <selection pane="topRight" activeCell="C1" sqref="C1"/>
      <selection pane="bottomLeft" activeCell="A6" sqref="A6"/>
      <selection pane="bottomRight" activeCell="E7" sqref="E7"/>
    </sheetView>
  </sheetViews>
  <sheetFormatPr baseColWidth="10" defaultColWidth="0" defaultRowHeight="12.75" zeroHeight="1" x14ac:dyDescent="0.25"/>
  <cols>
    <col min="1" max="1" width="9.28515625" style="109" customWidth="1"/>
    <col min="2" max="4" width="25.7109375" style="70" customWidth="1"/>
    <col min="5" max="19" width="3" style="73" customWidth="1"/>
    <col min="20" max="20" width="4.5703125" style="73" customWidth="1"/>
    <col min="21" max="21" width="5.140625" style="73" customWidth="1"/>
    <col min="22" max="23" width="16.7109375" style="73" bestFit="1" customWidth="1"/>
    <col min="24" max="28" width="11.7109375" style="73" customWidth="1"/>
    <col min="29" max="29" width="11.7109375" style="70" customWidth="1"/>
    <col min="30" max="30" width="16.7109375" style="70" bestFit="1" customWidth="1"/>
    <col min="31" max="31" width="20.7109375" style="70" customWidth="1"/>
    <col min="32" max="32" width="20.7109375" style="105" customWidth="1"/>
    <col min="33" max="35" width="21.7109375" style="70" customWidth="1"/>
    <col min="36" max="36" width="12.28515625" style="70" customWidth="1"/>
    <col min="37" max="37" width="3.5703125" style="78" customWidth="1"/>
    <col min="38" max="39" width="11.42578125" style="71" hidden="1"/>
    <col min="40" max="40" width="30.7109375" style="71" hidden="1"/>
    <col min="41" max="41" width="5.85546875" style="71" hidden="1"/>
    <col min="42" max="248" width="11.42578125" style="71" hidden="1"/>
    <col min="249" max="249" width="12.5703125" style="71" hidden="1"/>
    <col min="250" max="257" width="5.28515625" style="71" hidden="1"/>
    <col min="258" max="258" width="8" style="71" hidden="1"/>
    <col min="259" max="259" width="4" style="71" hidden="1"/>
    <col min="260" max="260" width="39.42578125" style="71" hidden="1"/>
    <col min="261" max="274" width="5.28515625" style="71" hidden="1"/>
    <col min="275" max="275" width="10.85546875" style="71" hidden="1"/>
    <col min="276" max="276" width="10.140625" style="71" hidden="1"/>
    <col min="277" max="277" width="10.5703125" style="71" hidden="1"/>
    <col min="278" max="278" width="9.5703125" style="71" hidden="1"/>
    <col min="279" max="279" width="5.42578125" style="71" hidden="1"/>
    <col min="280" max="280" width="9.28515625" style="71" hidden="1"/>
    <col min="281" max="281" width="8.28515625" style="71" hidden="1"/>
    <col min="282" max="282" width="9.140625" style="71" hidden="1"/>
    <col min="283" max="283" width="11.42578125" style="71" hidden="1"/>
    <col min="284" max="287" width="9.28515625" style="71" hidden="1"/>
    <col min="288" max="290" width="11.42578125" style="71" hidden="1"/>
    <col min="291" max="291" width="18.7109375" style="71" hidden="1"/>
    <col min="292" max="292" width="18.85546875" style="71" hidden="1"/>
    <col min="293" max="295" width="11.42578125" style="71" hidden="1"/>
    <col min="296" max="296" width="30.7109375" style="71" hidden="1"/>
    <col min="297" max="504" width="11.42578125" style="71" hidden="1"/>
    <col min="505" max="505" width="12.5703125" style="71" hidden="1"/>
    <col min="506" max="513" width="5.28515625" style="71" hidden="1"/>
    <col min="514" max="514" width="8" style="71" hidden="1"/>
    <col min="515" max="515" width="4" style="71" hidden="1"/>
    <col min="516" max="516" width="39.42578125" style="71" hidden="1"/>
    <col min="517" max="530" width="5.28515625" style="71" hidden="1"/>
    <col min="531" max="531" width="10.85546875" style="71" hidden="1"/>
    <col min="532" max="532" width="10.140625" style="71" hidden="1"/>
    <col min="533" max="533" width="10.5703125" style="71" hidden="1"/>
    <col min="534" max="534" width="9.5703125" style="71" hidden="1"/>
    <col min="535" max="535" width="5.42578125" style="71" hidden="1"/>
    <col min="536" max="536" width="9.28515625" style="71" hidden="1"/>
    <col min="537" max="537" width="8.28515625" style="71" hidden="1"/>
    <col min="538" max="538" width="9.140625" style="71" hidden="1"/>
    <col min="539" max="539" width="11.42578125" style="71" hidden="1"/>
    <col min="540" max="543" width="9.28515625" style="71" hidden="1"/>
    <col min="544" max="546" width="11.42578125" style="71" hidden="1"/>
    <col min="547" max="547" width="18.7109375" style="71" hidden="1"/>
    <col min="548" max="548" width="18.85546875" style="71" hidden="1"/>
    <col min="549" max="551" width="11.42578125" style="71" hidden="1"/>
    <col min="552" max="552" width="30.7109375" style="71" hidden="1"/>
    <col min="553" max="760" width="11.42578125" style="71" hidden="1"/>
    <col min="761" max="761" width="12.5703125" style="71" hidden="1"/>
    <col min="762" max="769" width="5.28515625" style="71" hidden="1"/>
    <col min="770" max="770" width="8" style="71" hidden="1"/>
    <col min="771" max="771" width="4" style="71" hidden="1"/>
    <col min="772" max="772" width="39.42578125" style="71" hidden="1"/>
    <col min="773" max="786" width="5.28515625" style="71" hidden="1"/>
    <col min="787" max="787" width="10.85546875" style="71" hidden="1"/>
    <col min="788" max="788" width="10.140625" style="71" hidden="1"/>
    <col min="789" max="789" width="10.5703125" style="71" hidden="1"/>
    <col min="790" max="790" width="9.5703125" style="71" hidden="1"/>
    <col min="791" max="791" width="5.42578125" style="71" hidden="1"/>
    <col min="792" max="792" width="9.28515625" style="71" hidden="1"/>
    <col min="793" max="793" width="8.28515625" style="71" hidden="1"/>
    <col min="794" max="794" width="9.140625" style="71" hidden="1"/>
    <col min="795" max="795" width="11.42578125" style="71" hidden="1"/>
    <col min="796" max="799" width="9.28515625" style="71" hidden="1"/>
    <col min="800" max="802" width="11.42578125" style="71" hidden="1"/>
    <col min="803" max="803" width="18.7109375" style="71" hidden="1"/>
    <col min="804" max="804" width="18.85546875" style="71" hidden="1"/>
    <col min="805" max="807" width="11.42578125" style="71" hidden="1"/>
    <col min="808" max="808" width="30.7109375" style="71" hidden="1"/>
    <col min="809" max="1016" width="11.42578125" style="71" hidden="1"/>
    <col min="1017" max="1017" width="12.5703125" style="71" hidden="1"/>
    <col min="1018" max="1025" width="5.28515625" style="71" hidden="1"/>
    <col min="1026" max="1026" width="8" style="71" hidden="1"/>
    <col min="1027" max="1027" width="4" style="71" hidden="1"/>
    <col min="1028" max="1028" width="39.42578125" style="71" hidden="1"/>
    <col min="1029" max="1042" width="5.28515625" style="71" hidden="1"/>
    <col min="1043" max="1043" width="10.85546875" style="71" hidden="1"/>
    <col min="1044" max="1044" width="10.140625" style="71" hidden="1"/>
    <col min="1045" max="1045" width="10.5703125" style="71" hidden="1"/>
    <col min="1046" max="1046" width="9.5703125" style="71" hidden="1"/>
    <col min="1047" max="1047" width="5.42578125" style="71" hidden="1"/>
    <col min="1048" max="1048" width="9.28515625" style="71" hidden="1"/>
    <col min="1049" max="1049" width="8.28515625" style="71" hidden="1"/>
    <col min="1050" max="1050" width="9.140625" style="71" hidden="1"/>
    <col min="1051" max="1051" width="11.42578125" style="71" hidden="1"/>
    <col min="1052" max="1055" width="9.28515625" style="71" hidden="1"/>
    <col min="1056" max="1058" width="11.42578125" style="71" hidden="1"/>
    <col min="1059" max="1059" width="18.7109375" style="71" hidden="1"/>
    <col min="1060" max="1060" width="18.85546875" style="71" hidden="1"/>
    <col min="1061" max="1063" width="11.42578125" style="71" hidden="1"/>
    <col min="1064" max="1064" width="30.7109375" style="71" hidden="1"/>
    <col min="1065" max="1272" width="11.42578125" style="71" hidden="1"/>
    <col min="1273" max="1273" width="12.5703125" style="71" hidden="1"/>
    <col min="1274" max="1281" width="5.28515625" style="71" hidden="1"/>
    <col min="1282" max="1282" width="8" style="71" hidden="1"/>
    <col min="1283" max="1283" width="4" style="71" hidden="1"/>
    <col min="1284" max="1284" width="39.42578125" style="71" hidden="1"/>
    <col min="1285" max="1298" width="5.28515625" style="71" hidden="1"/>
    <col min="1299" max="1299" width="10.85546875" style="71" hidden="1"/>
    <col min="1300" max="1300" width="10.140625" style="71" hidden="1"/>
    <col min="1301" max="1301" width="10.5703125" style="71" hidden="1"/>
    <col min="1302" max="1302" width="9.5703125" style="71" hidden="1"/>
    <col min="1303" max="1303" width="5.42578125" style="71" hidden="1"/>
    <col min="1304" max="1304" width="9.28515625" style="71" hidden="1"/>
    <col min="1305" max="1305" width="8.28515625" style="71" hidden="1"/>
    <col min="1306" max="1306" width="9.140625" style="71" hidden="1"/>
    <col min="1307" max="1307" width="11.42578125" style="71" hidden="1"/>
    <col min="1308" max="1311" width="9.28515625" style="71" hidden="1"/>
    <col min="1312" max="1314" width="11.42578125" style="71" hidden="1"/>
    <col min="1315" max="1315" width="18.7109375" style="71" hidden="1"/>
    <col min="1316" max="1316" width="18.85546875" style="71" hidden="1"/>
    <col min="1317" max="1319" width="11.42578125" style="71" hidden="1"/>
    <col min="1320" max="1320" width="30.7109375" style="71" hidden="1"/>
    <col min="1321" max="1528" width="11.42578125" style="71" hidden="1"/>
    <col min="1529" max="1529" width="12.5703125" style="71" hidden="1"/>
    <col min="1530" max="1537" width="5.28515625" style="71" hidden="1"/>
    <col min="1538" max="1538" width="8" style="71" hidden="1"/>
    <col min="1539" max="1539" width="4" style="71" hidden="1"/>
    <col min="1540" max="1540" width="39.42578125" style="71" hidden="1"/>
    <col min="1541" max="1554" width="5.28515625" style="71" hidden="1"/>
    <col min="1555" max="1555" width="10.85546875" style="71" hidden="1"/>
    <col min="1556" max="1556" width="10.140625" style="71" hidden="1"/>
    <col min="1557" max="1557" width="10.5703125" style="71" hidden="1"/>
    <col min="1558" max="1558" width="9.5703125" style="71" hidden="1"/>
    <col min="1559" max="1559" width="5.42578125" style="71" hidden="1"/>
    <col min="1560" max="1560" width="9.28515625" style="71" hidden="1"/>
    <col min="1561" max="1561" width="8.28515625" style="71" hidden="1"/>
    <col min="1562" max="1562" width="9.140625" style="71" hidden="1"/>
    <col min="1563" max="1563" width="11.42578125" style="71" hidden="1"/>
    <col min="1564" max="1567" width="9.28515625" style="71" hidden="1"/>
    <col min="1568" max="1570" width="11.42578125" style="71" hidden="1"/>
    <col min="1571" max="1571" width="18.7109375" style="71" hidden="1"/>
    <col min="1572" max="1572" width="18.85546875" style="71" hidden="1"/>
    <col min="1573" max="1575" width="11.42578125" style="71" hidden="1"/>
    <col min="1576" max="1576" width="30.7109375" style="71" hidden="1"/>
    <col min="1577" max="1784" width="11.42578125" style="71" hidden="1"/>
    <col min="1785" max="1785" width="12.5703125" style="71" hidden="1"/>
    <col min="1786" max="1793" width="5.28515625" style="71" hidden="1"/>
    <col min="1794" max="1794" width="8" style="71" hidden="1"/>
    <col min="1795" max="1795" width="4" style="71" hidden="1"/>
    <col min="1796" max="1796" width="39.42578125" style="71" hidden="1"/>
    <col min="1797" max="1810" width="5.28515625" style="71" hidden="1"/>
    <col min="1811" max="1811" width="10.85546875" style="71" hidden="1"/>
    <col min="1812" max="1812" width="10.140625" style="71" hidden="1"/>
    <col min="1813" max="1813" width="10.5703125" style="71" hidden="1"/>
    <col min="1814" max="1814" width="9.5703125" style="71" hidden="1"/>
    <col min="1815" max="1815" width="5.42578125" style="71" hidden="1"/>
    <col min="1816" max="1816" width="9.28515625" style="71" hidden="1"/>
    <col min="1817" max="1817" width="8.28515625" style="71" hidden="1"/>
    <col min="1818" max="1818" width="9.140625" style="71" hidden="1"/>
    <col min="1819" max="1819" width="11.42578125" style="71" hidden="1"/>
    <col min="1820" max="1823" width="9.28515625" style="71" hidden="1"/>
    <col min="1824" max="1826" width="11.42578125" style="71" hidden="1"/>
    <col min="1827" max="1827" width="18.7109375" style="71" hidden="1"/>
    <col min="1828" max="1828" width="18.85546875" style="71" hidden="1"/>
    <col min="1829" max="1831" width="11.42578125" style="71" hidden="1"/>
    <col min="1832" max="1832" width="30.7109375" style="71" hidden="1"/>
    <col min="1833" max="2040" width="11.42578125" style="71" hidden="1"/>
    <col min="2041" max="2041" width="12.5703125" style="71" hidden="1"/>
    <col min="2042" max="2049" width="5.28515625" style="71" hidden="1"/>
    <col min="2050" max="2050" width="8" style="71" hidden="1"/>
    <col min="2051" max="2051" width="4" style="71" hidden="1"/>
    <col min="2052" max="2052" width="39.42578125" style="71" hidden="1"/>
    <col min="2053" max="2066" width="5.28515625" style="71" hidden="1"/>
    <col min="2067" max="2067" width="10.85546875" style="71" hidden="1"/>
    <col min="2068" max="2068" width="10.140625" style="71" hidden="1"/>
    <col min="2069" max="2069" width="10.5703125" style="71" hidden="1"/>
    <col min="2070" max="2070" width="9.5703125" style="71" hidden="1"/>
    <col min="2071" max="2071" width="5.42578125" style="71" hidden="1"/>
    <col min="2072" max="2072" width="9.28515625" style="71" hidden="1"/>
    <col min="2073" max="2073" width="8.28515625" style="71" hidden="1"/>
    <col min="2074" max="2074" width="9.140625" style="71" hidden="1"/>
    <col min="2075" max="2075" width="11.42578125" style="71" hidden="1"/>
    <col min="2076" max="2079" width="9.28515625" style="71" hidden="1"/>
    <col min="2080" max="2082" width="11.42578125" style="71" hidden="1"/>
    <col min="2083" max="2083" width="18.7109375" style="71" hidden="1"/>
    <col min="2084" max="2084" width="18.85546875" style="71" hidden="1"/>
    <col min="2085" max="2087" width="11.42578125" style="71" hidden="1"/>
    <col min="2088" max="2088" width="30.7109375" style="71" hidden="1"/>
    <col min="2089" max="2296" width="11.42578125" style="71" hidden="1"/>
    <col min="2297" max="2297" width="12.5703125" style="71" hidden="1"/>
    <col min="2298" max="2305" width="5.28515625" style="71" hidden="1"/>
    <col min="2306" max="2306" width="8" style="71" hidden="1"/>
    <col min="2307" max="2307" width="4" style="71" hidden="1"/>
    <col min="2308" max="2308" width="39.42578125" style="71" hidden="1"/>
    <col min="2309" max="2322" width="5.28515625" style="71" hidden="1"/>
    <col min="2323" max="2323" width="10.85546875" style="71" hidden="1"/>
    <col min="2324" max="2324" width="10.140625" style="71" hidden="1"/>
    <col min="2325" max="2325" width="10.5703125" style="71" hidden="1"/>
    <col min="2326" max="2326" width="9.5703125" style="71" hidden="1"/>
    <col min="2327" max="2327" width="5.42578125" style="71" hidden="1"/>
    <col min="2328" max="2328" width="9.28515625" style="71" hidden="1"/>
    <col min="2329" max="2329" width="8.28515625" style="71" hidden="1"/>
    <col min="2330" max="2330" width="9.140625" style="71" hidden="1"/>
    <col min="2331" max="2331" width="11.42578125" style="71" hidden="1"/>
    <col min="2332" max="2335" width="9.28515625" style="71" hidden="1"/>
    <col min="2336" max="2338" width="11.42578125" style="71" hidden="1"/>
    <col min="2339" max="2339" width="18.7109375" style="71" hidden="1"/>
    <col min="2340" max="2340" width="18.85546875" style="71" hidden="1"/>
    <col min="2341" max="2343" width="11.42578125" style="71" hidden="1"/>
    <col min="2344" max="2344" width="30.7109375" style="71" hidden="1"/>
    <col min="2345" max="2552" width="11.42578125" style="71" hidden="1"/>
    <col min="2553" max="2553" width="12.5703125" style="71" hidden="1"/>
    <col min="2554" max="2561" width="5.28515625" style="71" hidden="1"/>
    <col min="2562" max="2562" width="8" style="71" hidden="1"/>
    <col min="2563" max="2563" width="4" style="71" hidden="1"/>
    <col min="2564" max="2564" width="39.42578125" style="71" hidden="1"/>
    <col min="2565" max="2578" width="5.28515625" style="71" hidden="1"/>
    <col min="2579" max="2579" width="10.85546875" style="71" hidden="1"/>
    <col min="2580" max="2580" width="10.140625" style="71" hidden="1"/>
    <col min="2581" max="2581" width="10.5703125" style="71" hidden="1"/>
    <col min="2582" max="2582" width="9.5703125" style="71" hidden="1"/>
    <col min="2583" max="2583" width="5.42578125" style="71" hidden="1"/>
    <col min="2584" max="2584" width="9.28515625" style="71" hidden="1"/>
    <col min="2585" max="2585" width="8.28515625" style="71" hidden="1"/>
    <col min="2586" max="2586" width="9.140625" style="71" hidden="1"/>
    <col min="2587" max="2587" width="11.42578125" style="71" hidden="1"/>
    <col min="2588" max="2591" width="9.28515625" style="71" hidden="1"/>
    <col min="2592" max="2594" width="11.42578125" style="71" hidden="1"/>
    <col min="2595" max="2595" width="18.7109375" style="71" hidden="1"/>
    <col min="2596" max="2596" width="18.85546875" style="71" hidden="1"/>
    <col min="2597" max="2599" width="11.42578125" style="71" hidden="1"/>
    <col min="2600" max="2600" width="30.7109375" style="71" hidden="1"/>
    <col min="2601" max="2808" width="11.42578125" style="71" hidden="1"/>
    <col min="2809" max="2809" width="12.5703125" style="71" hidden="1"/>
    <col min="2810" max="2817" width="5.28515625" style="71" hidden="1"/>
    <col min="2818" max="2818" width="8" style="71" hidden="1"/>
    <col min="2819" max="2819" width="4" style="71" hidden="1"/>
    <col min="2820" max="2820" width="39.42578125" style="71" hidden="1"/>
    <col min="2821" max="2834" width="5.28515625" style="71" hidden="1"/>
    <col min="2835" max="2835" width="10.85546875" style="71" hidden="1"/>
    <col min="2836" max="2836" width="10.140625" style="71" hidden="1"/>
    <col min="2837" max="2837" width="10.5703125" style="71" hidden="1"/>
    <col min="2838" max="2838" width="9.5703125" style="71" hidden="1"/>
    <col min="2839" max="2839" width="5.42578125" style="71" hidden="1"/>
    <col min="2840" max="2840" width="9.28515625" style="71" hidden="1"/>
    <col min="2841" max="2841" width="8.28515625" style="71" hidden="1"/>
    <col min="2842" max="2842" width="9.140625" style="71" hidden="1"/>
    <col min="2843" max="2843" width="11.42578125" style="71" hidden="1"/>
    <col min="2844" max="2847" width="9.28515625" style="71" hidden="1"/>
    <col min="2848" max="2850" width="11.42578125" style="71" hidden="1"/>
    <col min="2851" max="2851" width="18.7109375" style="71" hidden="1"/>
    <col min="2852" max="2852" width="18.85546875" style="71" hidden="1"/>
    <col min="2853" max="2855" width="11.42578125" style="71" hidden="1"/>
    <col min="2856" max="2856" width="30.7109375" style="71" hidden="1"/>
    <col min="2857" max="3064" width="11.42578125" style="71" hidden="1"/>
    <col min="3065" max="3065" width="12.5703125" style="71" hidden="1"/>
    <col min="3066" max="3073" width="5.28515625" style="71" hidden="1"/>
    <col min="3074" max="3074" width="8" style="71" hidden="1"/>
    <col min="3075" max="3075" width="4" style="71" hidden="1"/>
    <col min="3076" max="3076" width="39.42578125" style="71" hidden="1"/>
    <col min="3077" max="3090" width="5.28515625" style="71" hidden="1"/>
    <col min="3091" max="3091" width="10.85546875" style="71" hidden="1"/>
    <col min="3092" max="3092" width="10.140625" style="71" hidden="1"/>
    <col min="3093" max="3093" width="10.5703125" style="71" hidden="1"/>
    <col min="3094" max="3094" width="9.5703125" style="71" hidden="1"/>
    <col min="3095" max="3095" width="5.42578125" style="71" hidden="1"/>
    <col min="3096" max="3096" width="9.28515625" style="71" hidden="1"/>
    <col min="3097" max="3097" width="8.28515625" style="71" hidden="1"/>
    <col min="3098" max="3098" width="9.140625" style="71" hidden="1"/>
    <col min="3099" max="3099" width="11.42578125" style="71" hidden="1"/>
    <col min="3100" max="3103" width="9.28515625" style="71" hidden="1"/>
    <col min="3104" max="3106" width="11.42578125" style="71" hidden="1"/>
    <col min="3107" max="3107" width="18.7109375" style="71" hidden="1"/>
    <col min="3108" max="3108" width="18.85546875" style="71" hidden="1"/>
    <col min="3109" max="3111" width="11.42578125" style="71" hidden="1"/>
    <col min="3112" max="3112" width="30.7109375" style="71" hidden="1"/>
    <col min="3113" max="3320" width="11.42578125" style="71" hidden="1"/>
    <col min="3321" max="3321" width="12.5703125" style="71" hidden="1"/>
    <col min="3322" max="3329" width="5.28515625" style="71" hidden="1"/>
    <col min="3330" max="3330" width="8" style="71" hidden="1"/>
    <col min="3331" max="3331" width="4" style="71" hidden="1"/>
    <col min="3332" max="3332" width="39.42578125" style="71" hidden="1"/>
    <col min="3333" max="3346" width="5.28515625" style="71" hidden="1"/>
    <col min="3347" max="3347" width="10.85546875" style="71" hidden="1"/>
    <col min="3348" max="3348" width="10.140625" style="71" hidden="1"/>
    <col min="3349" max="3349" width="10.5703125" style="71" hidden="1"/>
    <col min="3350" max="3350" width="9.5703125" style="71" hidden="1"/>
    <col min="3351" max="3351" width="5.42578125" style="71" hidden="1"/>
    <col min="3352" max="3352" width="9.28515625" style="71" hidden="1"/>
    <col min="3353" max="3353" width="8.28515625" style="71" hidden="1"/>
    <col min="3354" max="3354" width="9.140625" style="71" hidden="1"/>
    <col min="3355" max="3355" width="11.42578125" style="71" hidden="1"/>
    <col min="3356" max="3359" width="9.28515625" style="71" hidden="1"/>
    <col min="3360" max="3362" width="11.42578125" style="71" hidden="1"/>
    <col min="3363" max="3363" width="18.7109375" style="71" hidden="1"/>
    <col min="3364" max="3364" width="18.85546875" style="71" hidden="1"/>
    <col min="3365" max="3367" width="11.42578125" style="71" hidden="1"/>
    <col min="3368" max="3368" width="30.7109375" style="71" hidden="1"/>
    <col min="3369" max="3576" width="11.42578125" style="71" hidden="1"/>
    <col min="3577" max="3577" width="12.5703125" style="71" hidden="1"/>
    <col min="3578" max="3585" width="5.28515625" style="71" hidden="1"/>
    <col min="3586" max="3586" width="8" style="71" hidden="1"/>
    <col min="3587" max="3587" width="4" style="71" hidden="1"/>
    <col min="3588" max="3588" width="39.42578125" style="71" hidden="1"/>
    <col min="3589" max="3602" width="5.28515625" style="71" hidden="1"/>
    <col min="3603" max="3603" width="10.85546875" style="71" hidden="1"/>
    <col min="3604" max="3604" width="10.140625" style="71" hidden="1"/>
    <col min="3605" max="3605" width="10.5703125" style="71" hidden="1"/>
    <col min="3606" max="3606" width="9.5703125" style="71" hidden="1"/>
    <col min="3607" max="3607" width="5.42578125" style="71" hidden="1"/>
    <col min="3608" max="3608" width="9.28515625" style="71" hidden="1"/>
    <col min="3609" max="3609" width="8.28515625" style="71" hidden="1"/>
    <col min="3610" max="3610" width="9.140625" style="71" hidden="1"/>
    <col min="3611" max="3611" width="11.42578125" style="71" hidden="1"/>
    <col min="3612" max="3615" width="9.28515625" style="71" hidden="1"/>
    <col min="3616" max="3618" width="11.42578125" style="71" hidden="1"/>
    <col min="3619" max="3619" width="18.7109375" style="71" hidden="1"/>
    <col min="3620" max="3620" width="18.85546875" style="71" hidden="1"/>
    <col min="3621" max="3623" width="11.42578125" style="71" hidden="1"/>
    <col min="3624" max="3624" width="30.7109375" style="71" hidden="1"/>
    <col min="3625" max="3832" width="11.42578125" style="71" hidden="1"/>
    <col min="3833" max="3833" width="12.5703125" style="71" hidden="1"/>
    <col min="3834" max="3841" width="5.28515625" style="71" hidden="1"/>
    <col min="3842" max="3842" width="8" style="71" hidden="1"/>
    <col min="3843" max="3843" width="4" style="71" hidden="1"/>
    <col min="3844" max="3844" width="39.42578125" style="71" hidden="1"/>
    <col min="3845" max="3858" width="5.28515625" style="71" hidden="1"/>
    <col min="3859" max="3859" width="10.85546875" style="71" hidden="1"/>
    <col min="3860" max="3860" width="10.140625" style="71" hidden="1"/>
    <col min="3861" max="3861" width="10.5703125" style="71" hidden="1"/>
    <col min="3862" max="3862" width="9.5703125" style="71" hidden="1"/>
    <col min="3863" max="3863" width="5.42578125" style="71" hidden="1"/>
    <col min="3864" max="3864" width="9.28515625" style="71" hidden="1"/>
    <col min="3865" max="3865" width="8.28515625" style="71" hidden="1"/>
    <col min="3866" max="3866" width="9.140625" style="71" hidden="1"/>
    <col min="3867" max="3867" width="11.42578125" style="71" hidden="1"/>
    <col min="3868" max="3871" width="9.28515625" style="71" hidden="1"/>
    <col min="3872" max="3874" width="11.42578125" style="71" hidden="1"/>
    <col min="3875" max="3875" width="18.7109375" style="71" hidden="1"/>
    <col min="3876" max="3876" width="18.85546875" style="71" hidden="1"/>
    <col min="3877" max="3879" width="11.42578125" style="71" hidden="1"/>
    <col min="3880" max="3880" width="30.7109375" style="71" hidden="1"/>
    <col min="3881" max="4088" width="11.42578125" style="71" hidden="1"/>
    <col min="4089" max="4089" width="12.5703125" style="71" hidden="1"/>
    <col min="4090" max="4097" width="5.28515625" style="71" hidden="1"/>
    <col min="4098" max="4098" width="8" style="71" hidden="1"/>
    <col min="4099" max="4099" width="4" style="71" hidden="1"/>
    <col min="4100" max="4100" width="39.42578125" style="71" hidden="1"/>
    <col min="4101" max="4114" width="5.28515625" style="71" hidden="1"/>
    <col min="4115" max="4115" width="10.85546875" style="71" hidden="1"/>
    <col min="4116" max="4116" width="10.140625" style="71" hidden="1"/>
    <col min="4117" max="4117" width="10.5703125" style="71" hidden="1"/>
    <col min="4118" max="4118" width="9.5703125" style="71" hidden="1"/>
    <col min="4119" max="4119" width="5.42578125" style="71" hidden="1"/>
    <col min="4120" max="4120" width="9.28515625" style="71" hidden="1"/>
    <col min="4121" max="4121" width="8.28515625" style="71" hidden="1"/>
    <col min="4122" max="4122" width="9.140625" style="71" hidden="1"/>
    <col min="4123" max="4123" width="11.42578125" style="71" hidden="1"/>
    <col min="4124" max="4127" width="9.28515625" style="71" hidden="1"/>
    <col min="4128" max="4130" width="11.42578125" style="71" hidden="1"/>
    <col min="4131" max="4131" width="18.7109375" style="71" hidden="1"/>
    <col min="4132" max="4132" width="18.85546875" style="71" hidden="1"/>
    <col min="4133" max="4135" width="11.42578125" style="71" hidden="1"/>
    <col min="4136" max="4136" width="30.7109375" style="71" hidden="1"/>
    <col min="4137" max="4344" width="11.42578125" style="71" hidden="1"/>
    <col min="4345" max="4345" width="12.5703125" style="71" hidden="1"/>
    <col min="4346" max="4353" width="5.28515625" style="71" hidden="1"/>
    <col min="4354" max="4354" width="8" style="71" hidden="1"/>
    <col min="4355" max="4355" width="4" style="71" hidden="1"/>
    <col min="4356" max="4356" width="39.42578125" style="71" hidden="1"/>
    <col min="4357" max="4370" width="5.28515625" style="71" hidden="1"/>
    <col min="4371" max="4371" width="10.85546875" style="71" hidden="1"/>
    <col min="4372" max="4372" width="10.140625" style="71" hidden="1"/>
    <col min="4373" max="4373" width="10.5703125" style="71" hidden="1"/>
    <col min="4374" max="4374" width="9.5703125" style="71" hidden="1"/>
    <col min="4375" max="4375" width="5.42578125" style="71" hidden="1"/>
    <col min="4376" max="4376" width="9.28515625" style="71" hidden="1"/>
    <col min="4377" max="4377" width="8.28515625" style="71" hidden="1"/>
    <col min="4378" max="4378" width="9.140625" style="71" hidden="1"/>
    <col min="4379" max="4379" width="11.42578125" style="71" hidden="1"/>
    <col min="4380" max="4383" width="9.28515625" style="71" hidden="1"/>
    <col min="4384" max="4386" width="11.42578125" style="71" hidden="1"/>
    <col min="4387" max="4387" width="18.7109375" style="71" hidden="1"/>
    <col min="4388" max="4388" width="18.85546875" style="71" hidden="1"/>
    <col min="4389" max="4391" width="11.42578125" style="71" hidden="1"/>
    <col min="4392" max="4392" width="30.7109375" style="71" hidden="1"/>
    <col min="4393" max="4600" width="11.42578125" style="71" hidden="1"/>
    <col min="4601" max="4601" width="12.5703125" style="71" hidden="1"/>
    <col min="4602" max="4609" width="5.28515625" style="71" hidden="1"/>
    <col min="4610" max="4610" width="8" style="71" hidden="1"/>
    <col min="4611" max="4611" width="4" style="71" hidden="1"/>
    <col min="4612" max="4612" width="39.42578125" style="71" hidden="1"/>
    <col min="4613" max="4626" width="5.28515625" style="71" hidden="1"/>
    <col min="4627" max="4627" width="10.85546875" style="71" hidden="1"/>
    <col min="4628" max="4628" width="10.140625" style="71" hidden="1"/>
    <col min="4629" max="4629" width="10.5703125" style="71" hidden="1"/>
    <col min="4630" max="4630" width="9.5703125" style="71" hidden="1"/>
    <col min="4631" max="4631" width="5.42578125" style="71" hidden="1"/>
    <col min="4632" max="4632" width="9.28515625" style="71" hidden="1"/>
    <col min="4633" max="4633" width="8.28515625" style="71" hidden="1"/>
    <col min="4634" max="4634" width="9.140625" style="71" hidden="1"/>
    <col min="4635" max="4635" width="11.42578125" style="71" hidden="1"/>
    <col min="4636" max="4639" width="9.28515625" style="71" hidden="1"/>
    <col min="4640" max="4642" width="11.42578125" style="71" hidden="1"/>
    <col min="4643" max="4643" width="18.7109375" style="71" hidden="1"/>
    <col min="4644" max="4644" width="18.85546875" style="71" hidden="1"/>
    <col min="4645" max="4647" width="11.42578125" style="71" hidden="1"/>
    <col min="4648" max="4648" width="30.7109375" style="71" hidden="1"/>
    <col min="4649" max="4856" width="11.42578125" style="71" hidden="1"/>
    <col min="4857" max="4857" width="12.5703125" style="71" hidden="1"/>
    <col min="4858" max="4865" width="5.28515625" style="71" hidden="1"/>
    <col min="4866" max="4866" width="8" style="71" hidden="1"/>
    <col min="4867" max="4867" width="4" style="71" hidden="1"/>
    <col min="4868" max="4868" width="39.42578125" style="71" hidden="1"/>
    <col min="4869" max="4882" width="5.28515625" style="71" hidden="1"/>
    <col min="4883" max="4883" width="10.85546875" style="71" hidden="1"/>
    <col min="4884" max="4884" width="10.140625" style="71" hidden="1"/>
    <col min="4885" max="4885" width="10.5703125" style="71" hidden="1"/>
    <col min="4886" max="4886" width="9.5703125" style="71" hidden="1"/>
    <col min="4887" max="4887" width="5.42578125" style="71" hidden="1"/>
    <col min="4888" max="4888" width="9.28515625" style="71" hidden="1"/>
    <col min="4889" max="4889" width="8.28515625" style="71" hidden="1"/>
    <col min="4890" max="4890" width="9.140625" style="71" hidden="1"/>
    <col min="4891" max="4891" width="11.42578125" style="71" hidden="1"/>
    <col min="4892" max="4895" width="9.28515625" style="71" hidden="1"/>
    <col min="4896" max="4898" width="11.42578125" style="71" hidden="1"/>
    <col min="4899" max="4899" width="18.7109375" style="71" hidden="1"/>
    <col min="4900" max="4900" width="18.85546875" style="71" hidden="1"/>
    <col min="4901" max="4903" width="11.42578125" style="71" hidden="1"/>
    <col min="4904" max="4904" width="30.7109375" style="71" hidden="1"/>
    <col min="4905" max="5112" width="11.42578125" style="71" hidden="1"/>
    <col min="5113" max="5113" width="12.5703125" style="71" hidden="1"/>
    <col min="5114" max="5121" width="5.28515625" style="71" hidden="1"/>
    <col min="5122" max="5122" width="8" style="71" hidden="1"/>
    <col min="5123" max="5123" width="4" style="71" hidden="1"/>
    <col min="5124" max="5124" width="39.42578125" style="71" hidden="1"/>
    <col min="5125" max="5138" width="5.28515625" style="71" hidden="1"/>
    <col min="5139" max="5139" width="10.85546875" style="71" hidden="1"/>
    <col min="5140" max="5140" width="10.140625" style="71" hidden="1"/>
    <col min="5141" max="5141" width="10.5703125" style="71" hidden="1"/>
    <col min="5142" max="5142" width="9.5703125" style="71" hidden="1"/>
    <col min="5143" max="5143" width="5.42578125" style="71" hidden="1"/>
    <col min="5144" max="5144" width="9.28515625" style="71" hidden="1"/>
    <col min="5145" max="5145" width="8.28515625" style="71" hidden="1"/>
    <col min="5146" max="5146" width="9.140625" style="71" hidden="1"/>
    <col min="5147" max="5147" width="11.42578125" style="71" hidden="1"/>
    <col min="5148" max="5151" width="9.28515625" style="71" hidden="1"/>
    <col min="5152" max="5154" width="11.42578125" style="71" hidden="1"/>
    <col min="5155" max="5155" width="18.7109375" style="71" hidden="1"/>
    <col min="5156" max="5156" width="18.85546875" style="71" hidden="1"/>
    <col min="5157" max="5159" width="11.42578125" style="71" hidden="1"/>
    <col min="5160" max="5160" width="30.7109375" style="71" hidden="1"/>
    <col min="5161" max="5368" width="11.42578125" style="71" hidden="1"/>
    <col min="5369" max="5369" width="12.5703125" style="71" hidden="1"/>
    <col min="5370" max="5377" width="5.28515625" style="71" hidden="1"/>
    <col min="5378" max="5378" width="8" style="71" hidden="1"/>
    <col min="5379" max="5379" width="4" style="71" hidden="1"/>
    <col min="5380" max="5380" width="39.42578125" style="71" hidden="1"/>
    <col min="5381" max="5394" width="5.28515625" style="71" hidden="1"/>
    <col min="5395" max="5395" width="10.85546875" style="71" hidden="1"/>
    <col min="5396" max="5396" width="10.140625" style="71" hidden="1"/>
    <col min="5397" max="5397" width="10.5703125" style="71" hidden="1"/>
    <col min="5398" max="5398" width="9.5703125" style="71" hidden="1"/>
    <col min="5399" max="5399" width="5.42578125" style="71" hidden="1"/>
    <col min="5400" max="5400" width="9.28515625" style="71" hidden="1"/>
    <col min="5401" max="5401" width="8.28515625" style="71" hidden="1"/>
    <col min="5402" max="5402" width="9.140625" style="71" hidden="1"/>
    <col min="5403" max="5403" width="11.42578125" style="71" hidden="1"/>
    <col min="5404" max="5407" width="9.28515625" style="71" hidden="1"/>
    <col min="5408" max="5410" width="11.42578125" style="71" hidden="1"/>
    <col min="5411" max="5411" width="18.7109375" style="71" hidden="1"/>
    <col min="5412" max="5412" width="18.85546875" style="71" hidden="1"/>
    <col min="5413" max="5415" width="11.42578125" style="71" hidden="1"/>
    <col min="5416" max="5416" width="30.7109375" style="71" hidden="1"/>
    <col min="5417" max="5624" width="11.42578125" style="71" hidden="1"/>
    <col min="5625" max="5625" width="12.5703125" style="71" hidden="1"/>
    <col min="5626" max="5633" width="5.28515625" style="71" hidden="1"/>
    <col min="5634" max="5634" width="8" style="71" hidden="1"/>
    <col min="5635" max="5635" width="4" style="71" hidden="1"/>
    <col min="5636" max="5636" width="39.42578125" style="71" hidden="1"/>
    <col min="5637" max="5650" width="5.28515625" style="71" hidden="1"/>
    <col min="5651" max="5651" width="10.85546875" style="71" hidden="1"/>
    <col min="5652" max="5652" width="10.140625" style="71" hidden="1"/>
    <col min="5653" max="5653" width="10.5703125" style="71" hidden="1"/>
    <col min="5654" max="5654" width="9.5703125" style="71" hidden="1"/>
    <col min="5655" max="5655" width="5.42578125" style="71" hidden="1"/>
    <col min="5656" max="5656" width="9.28515625" style="71" hidden="1"/>
    <col min="5657" max="5657" width="8.28515625" style="71" hidden="1"/>
    <col min="5658" max="5658" width="9.140625" style="71" hidden="1"/>
    <col min="5659" max="5659" width="11.42578125" style="71" hidden="1"/>
    <col min="5660" max="5663" width="9.28515625" style="71" hidden="1"/>
    <col min="5664" max="5666" width="11.42578125" style="71" hidden="1"/>
    <col min="5667" max="5667" width="18.7109375" style="71" hidden="1"/>
    <col min="5668" max="5668" width="18.85546875" style="71" hidden="1"/>
    <col min="5669" max="5671" width="11.42578125" style="71" hidden="1"/>
    <col min="5672" max="5672" width="30.7109375" style="71" hidden="1"/>
    <col min="5673" max="5880" width="11.42578125" style="71" hidden="1"/>
    <col min="5881" max="5881" width="12.5703125" style="71" hidden="1"/>
    <col min="5882" max="5889" width="5.28515625" style="71" hidden="1"/>
    <col min="5890" max="5890" width="8" style="71" hidden="1"/>
    <col min="5891" max="5891" width="4" style="71" hidden="1"/>
    <col min="5892" max="5892" width="39.42578125" style="71" hidden="1"/>
    <col min="5893" max="5906" width="5.28515625" style="71" hidden="1"/>
    <col min="5907" max="5907" width="10.85546875" style="71" hidden="1"/>
    <col min="5908" max="5908" width="10.140625" style="71" hidden="1"/>
    <col min="5909" max="5909" width="10.5703125" style="71" hidden="1"/>
    <col min="5910" max="5910" width="9.5703125" style="71" hidden="1"/>
    <col min="5911" max="5911" width="5.42578125" style="71" hidden="1"/>
    <col min="5912" max="5912" width="9.28515625" style="71" hidden="1"/>
    <col min="5913" max="5913" width="8.28515625" style="71" hidden="1"/>
    <col min="5914" max="5914" width="9.140625" style="71" hidden="1"/>
    <col min="5915" max="5915" width="11.42578125" style="71" hidden="1"/>
    <col min="5916" max="5919" width="9.28515625" style="71" hidden="1"/>
    <col min="5920" max="5922" width="11.42578125" style="71" hidden="1"/>
    <col min="5923" max="5923" width="18.7109375" style="71" hidden="1"/>
    <col min="5924" max="5924" width="18.85546875" style="71" hidden="1"/>
    <col min="5925" max="5927" width="11.42578125" style="71" hidden="1"/>
    <col min="5928" max="5928" width="30.7109375" style="71" hidden="1"/>
    <col min="5929" max="6136" width="11.42578125" style="71" hidden="1"/>
    <col min="6137" max="6137" width="12.5703125" style="71" hidden="1"/>
    <col min="6138" max="6145" width="5.28515625" style="71" hidden="1"/>
    <col min="6146" max="6146" width="8" style="71" hidden="1"/>
    <col min="6147" max="6147" width="4" style="71" hidden="1"/>
    <col min="6148" max="6148" width="39.42578125" style="71" hidden="1"/>
    <col min="6149" max="6162" width="5.28515625" style="71" hidden="1"/>
    <col min="6163" max="6163" width="10.85546875" style="71" hidden="1"/>
    <col min="6164" max="6164" width="10.140625" style="71" hidden="1"/>
    <col min="6165" max="6165" width="10.5703125" style="71" hidden="1"/>
    <col min="6166" max="6166" width="9.5703125" style="71" hidden="1"/>
    <col min="6167" max="6167" width="5.42578125" style="71" hidden="1"/>
    <col min="6168" max="6168" width="9.28515625" style="71" hidden="1"/>
    <col min="6169" max="6169" width="8.28515625" style="71" hidden="1"/>
    <col min="6170" max="6170" width="9.140625" style="71" hidden="1"/>
    <col min="6171" max="6171" width="11.42578125" style="71" hidden="1"/>
    <col min="6172" max="6175" width="9.28515625" style="71" hidden="1"/>
    <col min="6176" max="6178" width="11.42578125" style="71" hidden="1"/>
    <col min="6179" max="6179" width="18.7109375" style="71" hidden="1"/>
    <col min="6180" max="6180" width="18.85546875" style="71" hidden="1"/>
    <col min="6181" max="6183" width="11.42578125" style="71" hidden="1"/>
    <col min="6184" max="6184" width="30.7109375" style="71" hidden="1"/>
    <col min="6185" max="6392" width="11.42578125" style="71" hidden="1"/>
    <col min="6393" max="6393" width="12.5703125" style="71" hidden="1"/>
    <col min="6394" max="6401" width="5.28515625" style="71" hidden="1"/>
    <col min="6402" max="6402" width="8" style="71" hidden="1"/>
    <col min="6403" max="6403" width="4" style="71" hidden="1"/>
    <col min="6404" max="6404" width="39.42578125" style="71" hidden="1"/>
    <col min="6405" max="6418" width="5.28515625" style="71" hidden="1"/>
    <col min="6419" max="6419" width="10.85546875" style="71" hidden="1"/>
    <col min="6420" max="6420" width="10.140625" style="71" hidden="1"/>
    <col min="6421" max="6421" width="10.5703125" style="71" hidden="1"/>
    <col min="6422" max="6422" width="9.5703125" style="71" hidden="1"/>
    <col min="6423" max="6423" width="5.42578125" style="71" hidden="1"/>
    <col min="6424" max="6424" width="9.28515625" style="71" hidden="1"/>
    <col min="6425" max="6425" width="8.28515625" style="71" hidden="1"/>
    <col min="6426" max="6426" width="9.140625" style="71" hidden="1"/>
    <col min="6427" max="6427" width="11.42578125" style="71" hidden="1"/>
    <col min="6428" max="6431" width="9.28515625" style="71" hidden="1"/>
    <col min="6432" max="6434" width="11.42578125" style="71" hidden="1"/>
    <col min="6435" max="6435" width="18.7109375" style="71" hidden="1"/>
    <col min="6436" max="6436" width="18.85546875" style="71" hidden="1"/>
    <col min="6437" max="6439" width="11.42578125" style="71" hidden="1"/>
    <col min="6440" max="6440" width="30.7109375" style="71" hidden="1"/>
    <col min="6441" max="6648" width="11.42578125" style="71" hidden="1"/>
    <col min="6649" max="6649" width="12.5703125" style="71" hidden="1"/>
    <col min="6650" max="6657" width="5.28515625" style="71" hidden="1"/>
    <col min="6658" max="6658" width="8" style="71" hidden="1"/>
    <col min="6659" max="6659" width="4" style="71" hidden="1"/>
    <col min="6660" max="6660" width="39.42578125" style="71" hidden="1"/>
    <col min="6661" max="6674" width="5.28515625" style="71" hidden="1"/>
    <col min="6675" max="6675" width="10.85546875" style="71" hidden="1"/>
    <col min="6676" max="6676" width="10.140625" style="71" hidden="1"/>
    <col min="6677" max="6677" width="10.5703125" style="71" hidden="1"/>
    <col min="6678" max="6678" width="9.5703125" style="71" hidden="1"/>
    <col min="6679" max="6679" width="5.42578125" style="71" hidden="1"/>
    <col min="6680" max="6680" width="9.28515625" style="71" hidden="1"/>
    <col min="6681" max="6681" width="8.28515625" style="71" hidden="1"/>
    <col min="6682" max="6682" width="9.140625" style="71" hidden="1"/>
    <col min="6683" max="6683" width="11.42578125" style="71" hidden="1"/>
    <col min="6684" max="6687" width="9.28515625" style="71" hidden="1"/>
    <col min="6688" max="6690" width="11.42578125" style="71" hidden="1"/>
    <col min="6691" max="6691" width="18.7109375" style="71" hidden="1"/>
    <col min="6692" max="6692" width="18.85546875" style="71" hidden="1"/>
    <col min="6693" max="6695" width="11.42578125" style="71" hidden="1"/>
    <col min="6696" max="6696" width="30.7109375" style="71" hidden="1"/>
    <col min="6697" max="6904" width="11.42578125" style="71" hidden="1"/>
    <col min="6905" max="6905" width="12.5703125" style="71" hidden="1"/>
    <col min="6906" max="6913" width="5.28515625" style="71" hidden="1"/>
    <col min="6914" max="6914" width="8" style="71" hidden="1"/>
    <col min="6915" max="6915" width="4" style="71" hidden="1"/>
    <col min="6916" max="6916" width="39.42578125" style="71" hidden="1"/>
    <col min="6917" max="6930" width="5.28515625" style="71" hidden="1"/>
    <col min="6931" max="6931" width="10.85546875" style="71" hidden="1"/>
    <col min="6932" max="6932" width="10.140625" style="71" hidden="1"/>
    <col min="6933" max="6933" width="10.5703125" style="71" hidden="1"/>
    <col min="6934" max="6934" width="9.5703125" style="71" hidden="1"/>
    <col min="6935" max="6935" width="5.42578125" style="71" hidden="1"/>
    <col min="6936" max="6936" width="9.28515625" style="71" hidden="1"/>
    <col min="6937" max="6937" width="8.28515625" style="71" hidden="1"/>
    <col min="6938" max="6938" width="9.140625" style="71" hidden="1"/>
    <col min="6939" max="6939" width="11.42578125" style="71" hidden="1"/>
    <col min="6940" max="6943" width="9.28515625" style="71" hidden="1"/>
    <col min="6944" max="6946" width="11.42578125" style="71" hidden="1"/>
    <col min="6947" max="6947" width="18.7109375" style="71" hidden="1"/>
    <col min="6948" max="6948" width="18.85546875" style="71" hidden="1"/>
    <col min="6949" max="6951" width="11.42578125" style="71" hidden="1"/>
    <col min="6952" max="6952" width="30.7109375" style="71" hidden="1"/>
    <col min="6953" max="7160" width="11.42578125" style="71" hidden="1"/>
    <col min="7161" max="7161" width="12.5703125" style="71" hidden="1"/>
    <col min="7162" max="7169" width="5.28515625" style="71" hidden="1"/>
    <col min="7170" max="7170" width="8" style="71" hidden="1"/>
    <col min="7171" max="7171" width="4" style="71" hidden="1"/>
    <col min="7172" max="7172" width="39.42578125" style="71" hidden="1"/>
    <col min="7173" max="7186" width="5.28515625" style="71" hidden="1"/>
    <col min="7187" max="7187" width="10.85546875" style="71" hidden="1"/>
    <col min="7188" max="7188" width="10.140625" style="71" hidden="1"/>
    <col min="7189" max="7189" width="10.5703125" style="71" hidden="1"/>
    <col min="7190" max="7190" width="9.5703125" style="71" hidden="1"/>
    <col min="7191" max="7191" width="5.42578125" style="71" hidden="1"/>
    <col min="7192" max="7192" width="9.28515625" style="71" hidden="1"/>
    <col min="7193" max="7193" width="8.28515625" style="71" hidden="1"/>
    <col min="7194" max="7194" width="9.140625" style="71" hidden="1"/>
    <col min="7195" max="7195" width="11.42578125" style="71" hidden="1"/>
    <col min="7196" max="7199" width="9.28515625" style="71" hidden="1"/>
    <col min="7200" max="7202" width="11.42578125" style="71" hidden="1"/>
    <col min="7203" max="7203" width="18.7109375" style="71" hidden="1"/>
    <col min="7204" max="7204" width="18.85546875" style="71" hidden="1"/>
    <col min="7205" max="7207" width="11.42578125" style="71" hidden="1"/>
    <col min="7208" max="7208" width="30.7109375" style="71" hidden="1"/>
    <col min="7209" max="7416" width="11.42578125" style="71" hidden="1"/>
    <col min="7417" max="7417" width="12.5703125" style="71" hidden="1"/>
    <col min="7418" max="7425" width="5.28515625" style="71" hidden="1"/>
    <col min="7426" max="7426" width="8" style="71" hidden="1"/>
    <col min="7427" max="7427" width="4" style="71" hidden="1"/>
    <col min="7428" max="7428" width="39.42578125" style="71" hidden="1"/>
    <col min="7429" max="7442" width="5.28515625" style="71" hidden="1"/>
    <col min="7443" max="7443" width="10.85546875" style="71" hidden="1"/>
    <col min="7444" max="7444" width="10.140625" style="71" hidden="1"/>
    <col min="7445" max="7445" width="10.5703125" style="71" hidden="1"/>
    <col min="7446" max="7446" width="9.5703125" style="71" hidden="1"/>
    <col min="7447" max="7447" width="5.42578125" style="71" hidden="1"/>
    <col min="7448" max="7448" width="9.28515625" style="71" hidden="1"/>
    <col min="7449" max="7449" width="8.28515625" style="71" hidden="1"/>
    <col min="7450" max="7450" width="9.140625" style="71" hidden="1"/>
    <col min="7451" max="7451" width="11.42578125" style="71" hidden="1"/>
    <col min="7452" max="7455" width="9.28515625" style="71" hidden="1"/>
    <col min="7456" max="7458" width="11.42578125" style="71" hidden="1"/>
    <col min="7459" max="7459" width="18.7109375" style="71" hidden="1"/>
    <col min="7460" max="7460" width="18.85546875" style="71" hidden="1"/>
    <col min="7461" max="7463" width="11.42578125" style="71" hidden="1"/>
    <col min="7464" max="7464" width="30.7109375" style="71" hidden="1"/>
    <col min="7465" max="7672" width="11.42578125" style="71" hidden="1"/>
    <col min="7673" max="7673" width="12.5703125" style="71" hidden="1"/>
    <col min="7674" max="7681" width="5.28515625" style="71" hidden="1"/>
    <col min="7682" max="7682" width="8" style="71" hidden="1"/>
    <col min="7683" max="7683" width="4" style="71" hidden="1"/>
    <col min="7684" max="7684" width="39.42578125" style="71" hidden="1"/>
    <col min="7685" max="7698" width="5.28515625" style="71" hidden="1"/>
    <col min="7699" max="7699" width="10.85546875" style="71" hidden="1"/>
    <col min="7700" max="7700" width="10.140625" style="71" hidden="1"/>
    <col min="7701" max="7701" width="10.5703125" style="71" hidden="1"/>
    <col min="7702" max="7702" width="9.5703125" style="71" hidden="1"/>
    <col min="7703" max="7703" width="5.42578125" style="71" hidden="1"/>
    <col min="7704" max="7704" width="9.28515625" style="71" hidden="1"/>
    <col min="7705" max="7705" width="8.28515625" style="71" hidden="1"/>
    <col min="7706" max="7706" width="9.140625" style="71" hidden="1"/>
    <col min="7707" max="7707" width="11.42578125" style="71" hidden="1"/>
    <col min="7708" max="7711" width="9.28515625" style="71" hidden="1"/>
    <col min="7712" max="7714" width="11.42578125" style="71" hidden="1"/>
    <col min="7715" max="7715" width="18.7109375" style="71" hidden="1"/>
    <col min="7716" max="7716" width="18.85546875" style="71" hidden="1"/>
    <col min="7717" max="7719" width="11.42578125" style="71" hidden="1"/>
    <col min="7720" max="7720" width="30.7109375" style="71" hidden="1"/>
    <col min="7721" max="7928" width="11.42578125" style="71" hidden="1"/>
    <col min="7929" max="7929" width="12.5703125" style="71" hidden="1"/>
    <col min="7930" max="7937" width="5.28515625" style="71" hidden="1"/>
    <col min="7938" max="7938" width="8" style="71" hidden="1"/>
    <col min="7939" max="7939" width="4" style="71" hidden="1"/>
    <col min="7940" max="7940" width="39.42578125" style="71" hidden="1"/>
    <col min="7941" max="7954" width="5.28515625" style="71" hidden="1"/>
    <col min="7955" max="7955" width="10.85546875" style="71" hidden="1"/>
    <col min="7956" max="7956" width="10.140625" style="71" hidden="1"/>
    <col min="7957" max="7957" width="10.5703125" style="71" hidden="1"/>
    <col min="7958" max="7958" width="9.5703125" style="71" hidden="1"/>
    <col min="7959" max="7959" width="5.42578125" style="71" hidden="1"/>
    <col min="7960" max="7960" width="9.28515625" style="71" hidden="1"/>
    <col min="7961" max="7961" width="8.28515625" style="71" hidden="1"/>
    <col min="7962" max="7962" width="9.140625" style="71" hidden="1"/>
    <col min="7963" max="7963" width="11.42578125" style="71" hidden="1"/>
    <col min="7964" max="7967" width="9.28515625" style="71" hidden="1"/>
    <col min="7968" max="7970" width="11.42578125" style="71" hidden="1"/>
    <col min="7971" max="7971" width="18.7109375" style="71" hidden="1"/>
    <col min="7972" max="7972" width="18.85546875" style="71" hidden="1"/>
    <col min="7973" max="7975" width="11.42578125" style="71" hidden="1"/>
    <col min="7976" max="7976" width="30.7109375" style="71" hidden="1"/>
    <col min="7977" max="8184" width="11.42578125" style="71" hidden="1"/>
    <col min="8185" max="8185" width="12.5703125" style="71" hidden="1"/>
    <col min="8186" max="8193" width="5.28515625" style="71" hidden="1"/>
    <col min="8194" max="8194" width="8" style="71" hidden="1"/>
    <col min="8195" max="8195" width="4" style="71" hidden="1"/>
    <col min="8196" max="8196" width="39.42578125" style="71" hidden="1"/>
    <col min="8197" max="8210" width="5.28515625" style="71" hidden="1"/>
    <col min="8211" max="8211" width="10.85546875" style="71" hidden="1"/>
    <col min="8212" max="8212" width="10.140625" style="71" hidden="1"/>
    <col min="8213" max="8213" width="10.5703125" style="71" hidden="1"/>
    <col min="8214" max="8214" width="9.5703125" style="71" hidden="1"/>
    <col min="8215" max="8215" width="5.42578125" style="71" hidden="1"/>
    <col min="8216" max="8216" width="9.28515625" style="71" hidden="1"/>
    <col min="8217" max="8217" width="8.28515625" style="71" hidden="1"/>
    <col min="8218" max="8218" width="9.140625" style="71" hidden="1"/>
    <col min="8219" max="8219" width="11.42578125" style="71" hidden="1"/>
    <col min="8220" max="8223" width="9.28515625" style="71" hidden="1"/>
    <col min="8224" max="8226" width="11.42578125" style="71" hidden="1"/>
    <col min="8227" max="8227" width="18.7109375" style="71" hidden="1"/>
    <col min="8228" max="8228" width="18.85546875" style="71" hidden="1"/>
    <col min="8229" max="8231" width="11.42578125" style="71" hidden="1"/>
    <col min="8232" max="8232" width="30.7109375" style="71" hidden="1"/>
    <col min="8233" max="8440" width="11.42578125" style="71" hidden="1"/>
    <col min="8441" max="8441" width="12.5703125" style="71" hidden="1"/>
    <col min="8442" max="8449" width="5.28515625" style="71" hidden="1"/>
    <col min="8450" max="8450" width="8" style="71" hidden="1"/>
    <col min="8451" max="8451" width="4" style="71" hidden="1"/>
    <col min="8452" max="8452" width="39.42578125" style="71" hidden="1"/>
    <col min="8453" max="8466" width="5.28515625" style="71" hidden="1"/>
    <col min="8467" max="8467" width="10.85546875" style="71" hidden="1"/>
    <col min="8468" max="8468" width="10.140625" style="71" hidden="1"/>
    <col min="8469" max="8469" width="10.5703125" style="71" hidden="1"/>
    <col min="8470" max="8470" width="9.5703125" style="71" hidden="1"/>
    <col min="8471" max="8471" width="5.42578125" style="71" hidden="1"/>
    <col min="8472" max="8472" width="9.28515625" style="71" hidden="1"/>
    <col min="8473" max="8473" width="8.28515625" style="71" hidden="1"/>
    <col min="8474" max="8474" width="9.140625" style="71" hidden="1"/>
    <col min="8475" max="8475" width="11.42578125" style="71" hidden="1"/>
    <col min="8476" max="8479" width="9.28515625" style="71" hidden="1"/>
    <col min="8480" max="8482" width="11.42578125" style="71" hidden="1"/>
    <col min="8483" max="8483" width="18.7109375" style="71" hidden="1"/>
    <col min="8484" max="8484" width="18.85546875" style="71" hidden="1"/>
    <col min="8485" max="8487" width="11.42578125" style="71" hidden="1"/>
    <col min="8488" max="8488" width="30.7109375" style="71" hidden="1"/>
    <col min="8489" max="8696" width="11.42578125" style="71" hidden="1"/>
    <col min="8697" max="8697" width="12.5703125" style="71" hidden="1"/>
    <col min="8698" max="8705" width="5.28515625" style="71" hidden="1"/>
    <col min="8706" max="8706" width="8" style="71" hidden="1"/>
    <col min="8707" max="8707" width="4" style="71" hidden="1"/>
    <col min="8708" max="8708" width="39.42578125" style="71" hidden="1"/>
    <col min="8709" max="8722" width="5.28515625" style="71" hidden="1"/>
    <col min="8723" max="8723" width="10.85546875" style="71" hidden="1"/>
    <col min="8724" max="8724" width="10.140625" style="71" hidden="1"/>
    <col min="8725" max="8725" width="10.5703125" style="71" hidden="1"/>
    <col min="8726" max="8726" width="9.5703125" style="71" hidden="1"/>
    <col min="8727" max="8727" width="5.42578125" style="71" hidden="1"/>
    <col min="8728" max="8728" width="9.28515625" style="71" hidden="1"/>
    <col min="8729" max="8729" width="8.28515625" style="71" hidden="1"/>
    <col min="8730" max="8730" width="9.140625" style="71" hidden="1"/>
    <col min="8731" max="8731" width="11.42578125" style="71" hidden="1"/>
    <col min="8732" max="8735" width="9.28515625" style="71" hidden="1"/>
    <col min="8736" max="8738" width="11.42578125" style="71" hidden="1"/>
    <col min="8739" max="8739" width="18.7109375" style="71" hidden="1"/>
    <col min="8740" max="8740" width="18.85546875" style="71" hidden="1"/>
    <col min="8741" max="8743" width="11.42578125" style="71" hidden="1"/>
    <col min="8744" max="8744" width="30.7109375" style="71" hidden="1"/>
    <col min="8745" max="8952" width="11.42578125" style="71" hidden="1"/>
    <col min="8953" max="8953" width="12.5703125" style="71" hidden="1"/>
    <col min="8954" max="8961" width="5.28515625" style="71" hidden="1"/>
    <col min="8962" max="8962" width="8" style="71" hidden="1"/>
    <col min="8963" max="8963" width="4" style="71" hidden="1"/>
    <col min="8964" max="8964" width="39.42578125" style="71" hidden="1"/>
    <col min="8965" max="8978" width="5.28515625" style="71" hidden="1"/>
    <col min="8979" max="8979" width="10.85546875" style="71" hidden="1"/>
    <col min="8980" max="8980" width="10.140625" style="71" hidden="1"/>
    <col min="8981" max="8981" width="10.5703125" style="71" hidden="1"/>
    <col min="8982" max="8982" width="9.5703125" style="71" hidden="1"/>
    <col min="8983" max="8983" width="5.42578125" style="71" hidden="1"/>
    <col min="8984" max="8984" width="9.28515625" style="71" hidden="1"/>
    <col min="8985" max="8985" width="8.28515625" style="71" hidden="1"/>
    <col min="8986" max="8986" width="9.140625" style="71" hidden="1"/>
    <col min="8987" max="8987" width="11.42578125" style="71" hidden="1"/>
    <col min="8988" max="8991" width="9.28515625" style="71" hidden="1"/>
    <col min="8992" max="8994" width="11.42578125" style="71" hidden="1"/>
    <col min="8995" max="8995" width="18.7109375" style="71" hidden="1"/>
    <col min="8996" max="8996" width="18.85546875" style="71" hidden="1"/>
    <col min="8997" max="8999" width="11.42578125" style="71" hidden="1"/>
    <col min="9000" max="9000" width="30.7109375" style="71" hidden="1"/>
    <col min="9001" max="9208" width="11.42578125" style="71" hidden="1"/>
    <col min="9209" max="9209" width="12.5703125" style="71" hidden="1"/>
    <col min="9210" max="9217" width="5.28515625" style="71" hidden="1"/>
    <col min="9218" max="9218" width="8" style="71" hidden="1"/>
    <col min="9219" max="9219" width="4" style="71" hidden="1"/>
    <col min="9220" max="9220" width="39.42578125" style="71" hidden="1"/>
    <col min="9221" max="9234" width="5.28515625" style="71" hidden="1"/>
    <col min="9235" max="9235" width="10.85546875" style="71" hidden="1"/>
    <col min="9236" max="9236" width="10.140625" style="71" hidden="1"/>
    <col min="9237" max="9237" width="10.5703125" style="71" hidden="1"/>
    <col min="9238" max="9238" width="9.5703125" style="71" hidden="1"/>
    <col min="9239" max="9239" width="5.42578125" style="71" hidden="1"/>
    <col min="9240" max="9240" width="9.28515625" style="71" hidden="1"/>
    <col min="9241" max="9241" width="8.28515625" style="71" hidden="1"/>
    <col min="9242" max="9242" width="9.140625" style="71" hidden="1"/>
    <col min="9243" max="9243" width="11.42578125" style="71" hidden="1"/>
    <col min="9244" max="9247" width="9.28515625" style="71" hidden="1"/>
    <col min="9248" max="9250" width="11.42578125" style="71" hidden="1"/>
    <col min="9251" max="9251" width="18.7109375" style="71" hidden="1"/>
    <col min="9252" max="9252" width="18.85546875" style="71" hidden="1"/>
    <col min="9253" max="9255" width="11.42578125" style="71" hidden="1"/>
    <col min="9256" max="9256" width="30.7109375" style="71" hidden="1"/>
    <col min="9257" max="9464" width="11.42578125" style="71" hidden="1"/>
    <col min="9465" max="9465" width="12.5703125" style="71" hidden="1"/>
    <col min="9466" max="9473" width="5.28515625" style="71" hidden="1"/>
    <col min="9474" max="9474" width="8" style="71" hidden="1"/>
    <col min="9475" max="9475" width="4" style="71" hidden="1"/>
    <col min="9476" max="9476" width="39.42578125" style="71" hidden="1"/>
    <col min="9477" max="9490" width="5.28515625" style="71" hidden="1"/>
    <col min="9491" max="9491" width="10.85546875" style="71" hidden="1"/>
    <col min="9492" max="9492" width="10.140625" style="71" hidden="1"/>
    <col min="9493" max="9493" width="10.5703125" style="71" hidden="1"/>
    <col min="9494" max="9494" width="9.5703125" style="71" hidden="1"/>
    <col min="9495" max="9495" width="5.42578125" style="71" hidden="1"/>
    <col min="9496" max="9496" width="9.28515625" style="71" hidden="1"/>
    <col min="9497" max="9497" width="8.28515625" style="71" hidden="1"/>
    <col min="9498" max="9498" width="9.140625" style="71" hidden="1"/>
    <col min="9499" max="9499" width="11.42578125" style="71" hidden="1"/>
    <col min="9500" max="9503" width="9.28515625" style="71" hidden="1"/>
    <col min="9504" max="9506" width="11.42578125" style="71" hidden="1"/>
    <col min="9507" max="9507" width="18.7109375" style="71" hidden="1"/>
    <col min="9508" max="9508" width="18.85546875" style="71" hidden="1"/>
    <col min="9509" max="9511" width="11.42578125" style="71" hidden="1"/>
    <col min="9512" max="9512" width="30.7109375" style="71" hidden="1"/>
    <col min="9513" max="9720" width="11.42578125" style="71" hidden="1"/>
    <col min="9721" max="9721" width="12.5703125" style="71" hidden="1"/>
    <col min="9722" max="9729" width="5.28515625" style="71" hidden="1"/>
    <col min="9730" max="9730" width="8" style="71" hidden="1"/>
    <col min="9731" max="9731" width="4" style="71" hidden="1"/>
    <col min="9732" max="9732" width="39.42578125" style="71" hidden="1"/>
    <col min="9733" max="9746" width="5.28515625" style="71" hidden="1"/>
    <col min="9747" max="9747" width="10.85546875" style="71" hidden="1"/>
    <col min="9748" max="9748" width="10.140625" style="71" hidden="1"/>
    <col min="9749" max="9749" width="10.5703125" style="71" hidden="1"/>
    <col min="9750" max="9750" width="9.5703125" style="71" hidden="1"/>
    <col min="9751" max="9751" width="5.42578125" style="71" hidden="1"/>
    <col min="9752" max="9752" width="9.28515625" style="71" hidden="1"/>
    <col min="9753" max="9753" width="8.28515625" style="71" hidden="1"/>
    <col min="9754" max="9754" width="9.140625" style="71" hidden="1"/>
    <col min="9755" max="9755" width="11.42578125" style="71" hidden="1"/>
    <col min="9756" max="9759" width="9.28515625" style="71" hidden="1"/>
    <col min="9760" max="9762" width="11.42578125" style="71" hidden="1"/>
    <col min="9763" max="9763" width="18.7109375" style="71" hidden="1"/>
    <col min="9764" max="9764" width="18.85546875" style="71" hidden="1"/>
    <col min="9765" max="9767" width="11.42578125" style="71" hidden="1"/>
    <col min="9768" max="9768" width="30.7109375" style="71" hidden="1"/>
    <col min="9769" max="9976" width="11.42578125" style="71" hidden="1"/>
    <col min="9977" max="9977" width="12.5703125" style="71" hidden="1"/>
    <col min="9978" max="9985" width="5.28515625" style="71" hidden="1"/>
    <col min="9986" max="9986" width="8" style="71" hidden="1"/>
    <col min="9987" max="9987" width="4" style="71" hidden="1"/>
    <col min="9988" max="9988" width="39.42578125" style="71" hidden="1"/>
    <col min="9989" max="10002" width="5.28515625" style="71" hidden="1"/>
    <col min="10003" max="10003" width="10.85546875" style="71" hidden="1"/>
    <col min="10004" max="10004" width="10.140625" style="71" hidden="1"/>
    <col min="10005" max="10005" width="10.5703125" style="71" hidden="1"/>
    <col min="10006" max="10006" width="9.5703125" style="71" hidden="1"/>
    <col min="10007" max="10007" width="5.42578125" style="71" hidden="1"/>
    <col min="10008" max="10008" width="9.28515625" style="71" hidden="1"/>
    <col min="10009" max="10009" width="8.28515625" style="71" hidden="1"/>
    <col min="10010" max="10010" width="9.140625" style="71" hidden="1"/>
    <col min="10011" max="10011" width="11.42578125" style="71" hidden="1"/>
    <col min="10012" max="10015" width="9.28515625" style="71" hidden="1"/>
    <col min="10016" max="10018" width="11.42578125" style="71" hidden="1"/>
    <col min="10019" max="10019" width="18.7109375" style="71" hidden="1"/>
    <col min="10020" max="10020" width="18.85546875" style="71" hidden="1"/>
    <col min="10021" max="10023" width="11.42578125" style="71" hidden="1"/>
    <col min="10024" max="10024" width="30.7109375" style="71" hidden="1"/>
    <col min="10025" max="10232" width="11.42578125" style="71" hidden="1"/>
    <col min="10233" max="10233" width="12.5703125" style="71" hidden="1"/>
    <col min="10234" max="10241" width="5.28515625" style="71" hidden="1"/>
    <col min="10242" max="10242" width="8" style="71" hidden="1"/>
    <col min="10243" max="10243" width="4" style="71" hidden="1"/>
    <col min="10244" max="10244" width="39.42578125" style="71" hidden="1"/>
    <col min="10245" max="10258" width="5.28515625" style="71" hidden="1"/>
    <col min="10259" max="10259" width="10.85546875" style="71" hidden="1"/>
    <col min="10260" max="10260" width="10.140625" style="71" hidden="1"/>
    <col min="10261" max="10261" width="10.5703125" style="71" hidden="1"/>
    <col min="10262" max="10262" width="9.5703125" style="71" hidden="1"/>
    <col min="10263" max="10263" width="5.42578125" style="71" hidden="1"/>
    <col min="10264" max="10264" width="9.28515625" style="71" hidden="1"/>
    <col min="10265" max="10265" width="8.28515625" style="71" hidden="1"/>
    <col min="10266" max="10266" width="9.140625" style="71" hidden="1"/>
    <col min="10267" max="10267" width="11.42578125" style="71" hidden="1"/>
    <col min="10268" max="10271" width="9.28515625" style="71" hidden="1"/>
    <col min="10272" max="10274" width="11.42578125" style="71" hidden="1"/>
    <col min="10275" max="10275" width="18.7109375" style="71" hidden="1"/>
    <col min="10276" max="10276" width="18.85546875" style="71" hidden="1"/>
    <col min="10277" max="10279" width="11.42578125" style="71" hidden="1"/>
    <col min="10280" max="10280" width="30.7109375" style="71" hidden="1"/>
    <col min="10281" max="10488" width="11.42578125" style="71" hidden="1"/>
    <col min="10489" max="10489" width="12.5703125" style="71" hidden="1"/>
    <col min="10490" max="10497" width="5.28515625" style="71" hidden="1"/>
    <col min="10498" max="10498" width="8" style="71" hidden="1"/>
    <col min="10499" max="10499" width="4" style="71" hidden="1"/>
    <col min="10500" max="10500" width="39.42578125" style="71" hidden="1"/>
    <col min="10501" max="10514" width="5.28515625" style="71" hidden="1"/>
    <col min="10515" max="10515" width="10.85546875" style="71" hidden="1"/>
    <col min="10516" max="10516" width="10.140625" style="71" hidden="1"/>
    <col min="10517" max="10517" width="10.5703125" style="71" hidden="1"/>
    <col min="10518" max="10518" width="9.5703125" style="71" hidden="1"/>
    <col min="10519" max="10519" width="5.42578125" style="71" hidden="1"/>
    <col min="10520" max="10520" width="9.28515625" style="71" hidden="1"/>
    <col min="10521" max="10521" width="8.28515625" style="71" hidden="1"/>
    <col min="10522" max="10522" width="9.140625" style="71" hidden="1"/>
    <col min="10523" max="10523" width="11.42578125" style="71" hidden="1"/>
    <col min="10524" max="10527" width="9.28515625" style="71" hidden="1"/>
    <col min="10528" max="10530" width="11.42578125" style="71" hidden="1"/>
    <col min="10531" max="10531" width="18.7109375" style="71" hidden="1"/>
    <col min="10532" max="10532" width="18.85546875" style="71" hidden="1"/>
    <col min="10533" max="10535" width="11.42578125" style="71" hidden="1"/>
    <col min="10536" max="10536" width="30.7109375" style="71" hidden="1"/>
    <col min="10537" max="10744" width="11.42578125" style="71" hidden="1"/>
    <col min="10745" max="10745" width="12.5703125" style="71" hidden="1"/>
    <col min="10746" max="10753" width="5.28515625" style="71" hidden="1"/>
    <col min="10754" max="10754" width="8" style="71" hidden="1"/>
    <col min="10755" max="10755" width="4" style="71" hidden="1"/>
    <col min="10756" max="10756" width="39.42578125" style="71" hidden="1"/>
    <col min="10757" max="10770" width="5.28515625" style="71" hidden="1"/>
    <col min="10771" max="10771" width="10.85546875" style="71" hidden="1"/>
    <col min="10772" max="10772" width="10.140625" style="71" hidden="1"/>
    <col min="10773" max="10773" width="10.5703125" style="71" hidden="1"/>
    <col min="10774" max="10774" width="9.5703125" style="71" hidden="1"/>
    <col min="10775" max="10775" width="5.42578125" style="71" hidden="1"/>
    <col min="10776" max="10776" width="9.28515625" style="71" hidden="1"/>
    <col min="10777" max="10777" width="8.28515625" style="71" hidden="1"/>
    <col min="10778" max="10778" width="9.140625" style="71" hidden="1"/>
    <col min="10779" max="10779" width="11.42578125" style="71" hidden="1"/>
    <col min="10780" max="10783" width="9.28515625" style="71" hidden="1"/>
    <col min="10784" max="10786" width="11.42578125" style="71" hidden="1"/>
    <col min="10787" max="10787" width="18.7109375" style="71" hidden="1"/>
    <col min="10788" max="10788" width="18.85546875" style="71" hidden="1"/>
    <col min="10789" max="10791" width="11.42578125" style="71" hidden="1"/>
    <col min="10792" max="10792" width="30.7109375" style="71" hidden="1"/>
    <col min="10793" max="11000" width="11.42578125" style="71" hidden="1"/>
    <col min="11001" max="11001" width="12.5703125" style="71" hidden="1"/>
    <col min="11002" max="11009" width="5.28515625" style="71" hidden="1"/>
    <col min="11010" max="11010" width="8" style="71" hidden="1"/>
    <col min="11011" max="11011" width="4" style="71" hidden="1"/>
    <col min="11012" max="11012" width="39.42578125" style="71" hidden="1"/>
    <col min="11013" max="11026" width="5.28515625" style="71" hidden="1"/>
    <col min="11027" max="11027" width="10.85546875" style="71" hidden="1"/>
    <col min="11028" max="11028" width="10.140625" style="71" hidden="1"/>
    <col min="11029" max="11029" width="10.5703125" style="71" hidden="1"/>
    <col min="11030" max="11030" width="9.5703125" style="71" hidden="1"/>
    <col min="11031" max="11031" width="5.42578125" style="71" hidden="1"/>
    <col min="11032" max="11032" width="9.28515625" style="71" hidden="1"/>
    <col min="11033" max="11033" width="8.28515625" style="71" hidden="1"/>
    <col min="11034" max="11034" width="9.140625" style="71" hidden="1"/>
    <col min="11035" max="11035" width="11.42578125" style="71" hidden="1"/>
    <col min="11036" max="11039" width="9.28515625" style="71" hidden="1"/>
    <col min="11040" max="11042" width="11.42578125" style="71" hidden="1"/>
    <col min="11043" max="11043" width="18.7109375" style="71" hidden="1"/>
    <col min="11044" max="11044" width="18.85546875" style="71" hidden="1"/>
    <col min="11045" max="11047" width="11.42578125" style="71" hidden="1"/>
    <col min="11048" max="11048" width="30.7109375" style="71" hidden="1"/>
    <col min="11049" max="11256" width="11.42578125" style="71" hidden="1"/>
    <col min="11257" max="11257" width="12.5703125" style="71" hidden="1"/>
    <col min="11258" max="11265" width="5.28515625" style="71" hidden="1"/>
    <col min="11266" max="11266" width="8" style="71" hidden="1"/>
    <col min="11267" max="11267" width="4" style="71" hidden="1"/>
    <col min="11268" max="11268" width="39.42578125" style="71" hidden="1"/>
    <col min="11269" max="11282" width="5.28515625" style="71" hidden="1"/>
    <col min="11283" max="11283" width="10.85546875" style="71" hidden="1"/>
    <col min="11284" max="11284" width="10.140625" style="71" hidden="1"/>
    <col min="11285" max="11285" width="10.5703125" style="71" hidden="1"/>
    <col min="11286" max="11286" width="9.5703125" style="71" hidden="1"/>
    <col min="11287" max="11287" width="5.42578125" style="71" hidden="1"/>
    <col min="11288" max="11288" width="9.28515625" style="71" hidden="1"/>
    <col min="11289" max="11289" width="8.28515625" style="71" hidden="1"/>
    <col min="11290" max="11290" width="9.140625" style="71" hidden="1"/>
    <col min="11291" max="11291" width="11.42578125" style="71" hidden="1"/>
    <col min="11292" max="11295" width="9.28515625" style="71" hidden="1"/>
    <col min="11296" max="11298" width="11.42578125" style="71" hidden="1"/>
    <col min="11299" max="11299" width="18.7109375" style="71" hidden="1"/>
    <col min="11300" max="11300" width="18.85546875" style="71" hidden="1"/>
    <col min="11301" max="11303" width="11.42578125" style="71" hidden="1"/>
    <col min="11304" max="11304" width="30.7109375" style="71" hidden="1"/>
    <col min="11305" max="11512" width="11.42578125" style="71" hidden="1"/>
    <col min="11513" max="11513" width="12.5703125" style="71" hidden="1"/>
    <col min="11514" max="11521" width="5.28515625" style="71" hidden="1"/>
    <col min="11522" max="11522" width="8" style="71" hidden="1"/>
    <col min="11523" max="11523" width="4" style="71" hidden="1"/>
    <col min="11524" max="11524" width="39.42578125" style="71" hidden="1"/>
    <col min="11525" max="11538" width="5.28515625" style="71" hidden="1"/>
    <col min="11539" max="11539" width="10.85546875" style="71" hidden="1"/>
    <col min="11540" max="11540" width="10.140625" style="71" hidden="1"/>
    <col min="11541" max="11541" width="10.5703125" style="71" hidden="1"/>
    <col min="11542" max="11542" width="9.5703125" style="71" hidden="1"/>
    <col min="11543" max="11543" width="5.42578125" style="71" hidden="1"/>
    <col min="11544" max="11544" width="9.28515625" style="71" hidden="1"/>
    <col min="11545" max="11545" width="8.28515625" style="71" hidden="1"/>
    <col min="11546" max="11546" width="9.140625" style="71" hidden="1"/>
    <col min="11547" max="11547" width="11.42578125" style="71" hidden="1"/>
    <col min="11548" max="11551" width="9.28515625" style="71" hidden="1"/>
    <col min="11552" max="11554" width="11.42578125" style="71" hidden="1"/>
    <col min="11555" max="11555" width="18.7109375" style="71" hidden="1"/>
    <col min="11556" max="11556" width="18.85546875" style="71" hidden="1"/>
    <col min="11557" max="11559" width="11.42578125" style="71" hidden="1"/>
    <col min="11560" max="11560" width="30.7109375" style="71" hidden="1"/>
    <col min="11561" max="11768" width="11.42578125" style="71" hidden="1"/>
    <col min="11769" max="11769" width="12.5703125" style="71" hidden="1"/>
    <col min="11770" max="11777" width="5.28515625" style="71" hidden="1"/>
    <col min="11778" max="11778" width="8" style="71" hidden="1"/>
    <col min="11779" max="11779" width="4" style="71" hidden="1"/>
    <col min="11780" max="11780" width="39.42578125" style="71" hidden="1"/>
    <col min="11781" max="11794" width="5.28515625" style="71" hidden="1"/>
    <col min="11795" max="11795" width="10.85546875" style="71" hidden="1"/>
    <col min="11796" max="11796" width="10.140625" style="71" hidden="1"/>
    <col min="11797" max="11797" width="10.5703125" style="71" hidden="1"/>
    <col min="11798" max="11798" width="9.5703125" style="71" hidden="1"/>
    <col min="11799" max="11799" width="5.42578125" style="71" hidden="1"/>
    <col min="11800" max="11800" width="9.28515625" style="71" hidden="1"/>
    <col min="11801" max="11801" width="8.28515625" style="71" hidden="1"/>
    <col min="11802" max="11802" width="9.140625" style="71" hidden="1"/>
    <col min="11803" max="11803" width="11.42578125" style="71" hidden="1"/>
    <col min="11804" max="11807" width="9.28515625" style="71" hidden="1"/>
    <col min="11808" max="11810" width="11.42578125" style="71" hidden="1"/>
    <col min="11811" max="11811" width="18.7109375" style="71" hidden="1"/>
    <col min="11812" max="11812" width="18.85546875" style="71" hidden="1"/>
    <col min="11813" max="11815" width="11.42578125" style="71" hidden="1"/>
    <col min="11816" max="11816" width="30.7109375" style="71" hidden="1"/>
    <col min="11817" max="12024" width="11.42578125" style="71" hidden="1"/>
    <col min="12025" max="12025" width="12.5703125" style="71" hidden="1"/>
    <col min="12026" max="12033" width="5.28515625" style="71" hidden="1"/>
    <col min="12034" max="12034" width="8" style="71" hidden="1"/>
    <col min="12035" max="12035" width="4" style="71" hidden="1"/>
    <col min="12036" max="12036" width="39.42578125" style="71" hidden="1"/>
    <col min="12037" max="12050" width="5.28515625" style="71" hidden="1"/>
    <col min="12051" max="12051" width="10.85546875" style="71" hidden="1"/>
    <col min="12052" max="12052" width="10.140625" style="71" hidden="1"/>
    <col min="12053" max="12053" width="10.5703125" style="71" hidden="1"/>
    <col min="12054" max="12054" width="9.5703125" style="71" hidden="1"/>
    <col min="12055" max="12055" width="5.42578125" style="71" hidden="1"/>
    <col min="12056" max="12056" width="9.28515625" style="71" hidden="1"/>
    <col min="12057" max="12057" width="8.28515625" style="71" hidden="1"/>
    <col min="12058" max="12058" width="9.140625" style="71" hidden="1"/>
    <col min="12059" max="12059" width="11.42578125" style="71" hidden="1"/>
    <col min="12060" max="12063" width="9.28515625" style="71" hidden="1"/>
    <col min="12064" max="12066" width="11.42578125" style="71" hidden="1"/>
    <col min="12067" max="12067" width="18.7109375" style="71" hidden="1"/>
    <col min="12068" max="12068" width="18.85546875" style="71" hidden="1"/>
    <col min="12069" max="12071" width="11.42578125" style="71" hidden="1"/>
    <col min="12072" max="12072" width="30.7109375" style="71" hidden="1"/>
    <col min="12073" max="12280" width="11.42578125" style="71" hidden="1"/>
    <col min="12281" max="12281" width="12.5703125" style="71" hidden="1"/>
    <col min="12282" max="12289" width="5.28515625" style="71" hidden="1"/>
    <col min="12290" max="12290" width="8" style="71" hidden="1"/>
    <col min="12291" max="12291" width="4" style="71" hidden="1"/>
    <col min="12292" max="12292" width="39.42578125" style="71" hidden="1"/>
    <col min="12293" max="12306" width="5.28515625" style="71" hidden="1"/>
    <col min="12307" max="12307" width="10.85546875" style="71" hidden="1"/>
    <col min="12308" max="12308" width="10.140625" style="71" hidden="1"/>
    <col min="12309" max="12309" width="10.5703125" style="71" hidden="1"/>
    <col min="12310" max="12310" width="9.5703125" style="71" hidden="1"/>
    <col min="12311" max="12311" width="5.42578125" style="71" hidden="1"/>
    <col min="12312" max="12312" width="9.28515625" style="71" hidden="1"/>
    <col min="12313" max="12313" width="8.28515625" style="71" hidden="1"/>
    <col min="12314" max="12314" width="9.140625" style="71" hidden="1"/>
    <col min="12315" max="12315" width="11.42578125" style="71" hidden="1"/>
    <col min="12316" max="12319" width="9.28515625" style="71" hidden="1"/>
    <col min="12320" max="12322" width="11.42578125" style="71" hidden="1"/>
    <col min="12323" max="12323" width="18.7109375" style="71" hidden="1"/>
    <col min="12324" max="12324" width="18.85546875" style="71" hidden="1"/>
    <col min="12325" max="12327" width="11.42578125" style="71" hidden="1"/>
    <col min="12328" max="12328" width="30.7109375" style="71" hidden="1"/>
    <col min="12329" max="12536" width="11.42578125" style="71" hidden="1"/>
    <col min="12537" max="12537" width="12.5703125" style="71" hidden="1"/>
    <col min="12538" max="12545" width="5.28515625" style="71" hidden="1"/>
    <col min="12546" max="12546" width="8" style="71" hidden="1"/>
    <col min="12547" max="12547" width="4" style="71" hidden="1"/>
    <col min="12548" max="12548" width="39.42578125" style="71" hidden="1"/>
    <col min="12549" max="12562" width="5.28515625" style="71" hidden="1"/>
    <col min="12563" max="12563" width="10.85546875" style="71" hidden="1"/>
    <col min="12564" max="12564" width="10.140625" style="71" hidden="1"/>
    <col min="12565" max="12565" width="10.5703125" style="71" hidden="1"/>
    <col min="12566" max="12566" width="9.5703125" style="71" hidden="1"/>
    <col min="12567" max="12567" width="5.42578125" style="71" hidden="1"/>
    <col min="12568" max="12568" width="9.28515625" style="71" hidden="1"/>
    <col min="12569" max="12569" width="8.28515625" style="71" hidden="1"/>
    <col min="12570" max="12570" width="9.140625" style="71" hidden="1"/>
    <col min="12571" max="12571" width="11.42578125" style="71" hidden="1"/>
    <col min="12572" max="12575" width="9.28515625" style="71" hidden="1"/>
    <col min="12576" max="12578" width="11.42578125" style="71" hidden="1"/>
    <col min="12579" max="12579" width="18.7109375" style="71" hidden="1"/>
    <col min="12580" max="12580" width="18.85546875" style="71" hidden="1"/>
    <col min="12581" max="12583" width="11.42578125" style="71" hidden="1"/>
    <col min="12584" max="12584" width="30.7109375" style="71" hidden="1"/>
    <col min="12585" max="12792" width="11.42578125" style="71" hidden="1"/>
    <col min="12793" max="12793" width="12.5703125" style="71" hidden="1"/>
    <col min="12794" max="12801" width="5.28515625" style="71" hidden="1"/>
    <col min="12802" max="12802" width="8" style="71" hidden="1"/>
    <col min="12803" max="12803" width="4" style="71" hidden="1"/>
    <col min="12804" max="12804" width="39.42578125" style="71" hidden="1"/>
    <col min="12805" max="12818" width="5.28515625" style="71" hidden="1"/>
    <col min="12819" max="12819" width="10.85546875" style="71" hidden="1"/>
    <col min="12820" max="12820" width="10.140625" style="71" hidden="1"/>
    <col min="12821" max="12821" width="10.5703125" style="71" hidden="1"/>
    <col min="12822" max="12822" width="9.5703125" style="71" hidden="1"/>
    <col min="12823" max="12823" width="5.42578125" style="71" hidden="1"/>
    <col min="12824" max="12824" width="9.28515625" style="71" hidden="1"/>
    <col min="12825" max="12825" width="8.28515625" style="71" hidden="1"/>
    <col min="12826" max="12826" width="9.140625" style="71" hidden="1"/>
    <col min="12827" max="12827" width="11.42578125" style="71" hidden="1"/>
    <col min="12828" max="12831" width="9.28515625" style="71" hidden="1"/>
    <col min="12832" max="12834" width="11.42578125" style="71" hidden="1"/>
    <col min="12835" max="12835" width="18.7109375" style="71" hidden="1"/>
    <col min="12836" max="12836" width="18.85546875" style="71" hidden="1"/>
    <col min="12837" max="12839" width="11.42578125" style="71" hidden="1"/>
    <col min="12840" max="12840" width="30.7109375" style="71" hidden="1"/>
    <col min="12841" max="13048" width="11.42578125" style="71" hidden="1"/>
    <col min="13049" max="13049" width="12.5703125" style="71" hidden="1"/>
    <col min="13050" max="13057" width="5.28515625" style="71" hidden="1"/>
    <col min="13058" max="13058" width="8" style="71" hidden="1"/>
    <col min="13059" max="13059" width="4" style="71" hidden="1"/>
    <col min="13060" max="13060" width="39.42578125" style="71" hidden="1"/>
    <col min="13061" max="13074" width="5.28515625" style="71" hidden="1"/>
    <col min="13075" max="13075" width="10.85546875" style="71" hidden="1"/>
    <col min="13076" max="13076" width="10.140625" style="71" hidden="1"/>
    <col min="13077" max="13077" width="10.5703125" style="71" hidden="1"/>
    <col min="13078" max="13078" width="9.5703125" style="71" hidden="1"/>
    <col min="13079" max="13079" width="5.42578125" style="71" hidden="1"/>
    <col min="13080" max="13080" width="9.28515625" style="71" hidden="1"/>
    <col min="13081" max="13081" width="8.28515625" style="71" hidden="1"/>
    <col min="13082" max="13082" width="9.140625" style="71" hidden="1"/>
    <col min="13083" max="13083" width="11.42578125" style="71" hidden="1"/>
    <col min="13084" max="13087" width="9.28515625" style="71" hidden="1"/>
    <col min="13088" max="13090" width="11.42578125" style="71" hidden="1"/>
    <col min="13091" max="13091" width="18.7109375" style="71" hidden="1"/>
    <col min="13092" max="13092" width="18.85546875" style="71" hidden="1"/>
    <col min="13093" max="13095" width="11.42578125" style="71" hidden="1"/>
    <col min="13096" max="13096" width="30.7109375" style="71" hidden="1"/>
    <col min="13097" max="13304" width="11.42578125" style="71" hidden="1"/>
    <col min="13305" max="13305" width="12.5703125" style="71" hidden="1"/>
    <col min="13306" max="13313" width="5.28515625" style="71" hidden="1"/>
    <col min="13314" max="13314" width="8" style="71" hidden="1"/>
    <col min="13315" max="13315" width="4" style="71" hidden="1"/>
    <col min="13316" max="13316" width="39.42578125" style="71" hidden="1"/>
    <col min="13317" max="13330" width="5.28515625" style="71" hidden="1"/>
    <col min="13331" max="13331" width="10.85546875" style="71" hidden="1"/>
    <col min="13332" max="13332" width="10.140625" style="71" hidden="1"/>
    <col min="13333" max="13333" width="10.5703125" style="71" hidden="1"/>
    <col min="13334" max="13334" width="9.5703125" style="71" hidden="1"/>
    <col min="13335" max="13335" width="5.42578125" style="71" hidden="1"/>
    <col min="13336" max="13336" width="9.28515625" style="71" hidden="1"/>
    <col min="13337" max="13337" width="8.28515625" style="71" hidden="1"/>
    <col min="13338" max="13338" width="9.140625" style="71" hidden="1"/>
    <col min="13339" max="13339" width="11.42578125" style="71" hidden="1"/>
    <col min="13340" max="13343" width="9.28515625" style="71" hidden="1"/>
    <col min="13344" max="13346" width="11.42578125" style="71" hidden="1"/>
    <col min="13347" max="13347" width="18.7109375" style="71" hidden="1"/>
    <col min="13348" max="13348" width="18.85546875" style="71" hidden="1"/>
    <col min="13349" max="13351" width="11.42578125" style="71" hidden="1"/>
    <col min="13352" max="13352" width="30.7109375" style="71" hidden="1"/>
    <col min="13353" max="13560" width="11.42578125" style="71" hidden="1"/>
    <col min="13561" max="13561" width="12.5703125" style="71" hidden="1"/>
    <col min="13562" max="13569" width="5.28515625" style="71" hidden="1"/>
    <col min="13570" max="13570" width="8" style="71" hidden="1"/>
    <col min="13571" max="13571" width="4" style="71" hidden="1"/>
    <col min="13572" max="13572" width="39.42578125" style="71" hidden="1"/>
    <col min="13573" max="13586" width="5.28515625" style="71" hidden="1"/>
    <col min="13587" max="13587" width="10.85546875" style="71" hidden="1"/>
    <col min="13588" max="13588" width="10.140625" style="71" hidden="1"/>
    <col min="13589" max="13589" width="10.5703125" style="71" hidden="1"/>
    <col min="13590" max="13590" width="9.5703125" style="71" hidden="1"/>
    <col min="13591" max="13591" width="5.42578125" style="71" hidden="1"/>
    <col min="13592" max="13592" width="9.28515625" style="71" hidden="1"/>
    <col min="13593" max="13593" width="8.28515625" style="71" hidden="1"/>
    <col min="13594" max="13594" width="9.140625" style="71" hidden="1"/>
    <col min="13595" max="13595" width="11.42578125" style="71" hidden="1"/>
    <col min="13596" max="13599" width="9.28515625" style="71" hidden="1"/>
    <col min="13600" max="13602" width="11.42578125" style="71" hidden="1"/>
    <col min="13603" max="13603" width="18.7109375" style="71" hidden="1"/>
    <col min="13604" max="13604" width="18.85546875" style="71" hidden="1"/>
    <col min="13605" max="13607" width="11.42578125" style="71" hidden="1"/>
    <col min="13608" max="13608" width="30.7109375" style="71" hidden="1"/>
    <col min="13609" max="13816" width="11.42578125" style="71" hidden="1"/>
    <col min="13817" max="13817" width="12.5703125" style="71" hidden="1"/>
    <col min="13818" max="13825" width="5.28515625" style="71" hidden="1"/>
    <col min="13826" max="13826" width="8" style="71" hidden="1"/>
    <col min="13827" max="13827" width="4" style="71" hidden="1"/>
    <col min="13828" max="13828" width="39.42578125" style="71" hidden="1"/>
    <col min="13829" max="13842" width="5.28515625" style="71" hidden="1"/>
    <col min="13843" max="13843" width="10.85546875" style="71" hidden="1"/>
    <col min="13844" max="13844" width="10.140625" style="71" hidden="1"/>
    <col min="13845" max="13845" width="10.5703125" style="71" hidden="1"/>
    <col min="13846" max="13846" width="9.5703125" style="71" hidden="1"/>
    <col min="13847" max="13847" width="5.42578125" style="71" hidden="1"/>
    <col min="13848" max="13848" width="9.28515625" style="71" hidden="1"/>
    <col min="13849" max="13849" width="8.28515625" style="71" hidden="1"/>
    <col min="13850" max="13850" width="9.140625" style="71" hidden="1"/>
    <col min="13851" max="13851" width="11.42578125" style="71" hidden="1"/>
    <col min="13852" max="13855" width="9.28515625" style="71" hidden="1"/>
    <col min="13856" max="13858" width="11.42578125" style="71" hidden="1"/>
    <col min="13859" max="13859" width="18.7109375" style="71" hidden="1"/>
    <col min="13860" max="13860" width="18.85546875" style="71" hidden="1"/>
    <col min="13861" max="13863" width="11.42578125" style="71" hidden="1"/>
    <col min="13864" max="13864" width="30.7109375" style="71" hidden="1"/>
    <col min="13865" max="14072" width="11.42578125" style="71" hidden="1"/>
    <col min="14073" max="14073" width="12.5703125" style="71" hidden="1"/>
    <col min="14074" max="14081" width="5.28515625" style="71" hidden="1"/>
    <col min="14082" max="14082" width="8" style="71" hidden="1"/>
    <col min="14083" max="14083" width="4" style="71" hidden="1"/>
    <col min="14084" max="14084" width="39.42578125" style="71" hidden="1"/>
    <col min="14085" max="14098" width="5.28515625" style="71" hidden="1"/>
    <col min="14099" max="14099" width="10.85546875" style="71" hidden="1"/>
    <col min="14100" max="14100" width="10.140625" style="71" hidden="1"/>
    <col min="14101" max="14101" width="10.5703125" style="71" hidden="1"/>
    <col min="14102" max="14102" width="9.5703125" style="71" hidden="1"/>
    <col min="14103" max="14103" width="5.42578125" style="71" hidden="1"/>
    <col min="14104" max="14104" width="9.28515625" style="71" hidden="1"/>
    <col min="14105" max="14105" width="8.28515625" style="71" hidden="1"/>
    <col min="14106" max="14106" width="9.140625" style="71" hidden="1"/>
    <col min="14107" max="14107" width="11.42578125" style="71" hidden="1"/>
    <col min="14108" max="14111" width="9.28515625" style="71" hidden="1"/>
    <col min="14112" max="14114" width="11.42578125" style="71" hidden="1"/>
    <col min="14115" max="14115" width="18.7109375" style="71" hidden="1"/>
    <col min="14116" max="14116" width="18.85546875" style="71" hidden="1"/>
    <col min="14117" max="14119" width="11.42578125" style="71" hidden="1"/>
    <col min="14120" max="14120" width="30.7109375" style="71" hidden="1"/>
    <col min="14121" max="14328" width="11.42578125" style="71" hidden="1"/>
    <col min="14329" max="14329" width="12.5703125" style="71" hidden="1"/>
    <col min="14330" max="14337" width="5.28515625" style="71" hidden="1"/>
    <col min="14338" max="14338" width="8" style="71" hidden="1"/>
    <col min="14339" max="14339" width="4" style="71" hidden="1"/>
    <col min="14340" max="14340" width="39.42578125" style="71" hidden="1"/>
    <col min="14341" max="14354" width="5.28515625" style="71" hidden="1"/>
    <col min="14355" max="14355" width="10.85546875" style="71" hidden="1"/>
    <col min="14356" max="14356" width="10.140625" style="71" hidden="1"/>
    <col min="14357" max="14357" width="10.5703125" style="71" hidden="1"/>
    <col min="14358" max="14358" width="9.5703125" style="71" hidden="1"/>
    <col min="14359" max="14359" width="5.42578125" style="71" hidden="1"/>
    <col min="14360" max="14360" width="9.28515625" style="71" hidden="1"/>
    <col min="14361" max="14361" width="8.28515625" style="71" hidden="1"/>
    <col min="14362" max="14362" width="9.140625" style="71" hidden="1"/>
    <col min="14363" max="14363" width="11.42578125" style="71" hidden="1"/>
    <col min="14364" max="14367" width="9.28515625" style="71" hidden="1"/>
    <col min="14368" max="14370" width="11.42578125" style="71" hidden="1"/>
    <col min="14371" max="14371" width="18.7109375" style="71" hidden="1"/>
    <col min="14372" max="14372" width="18.85546875" style="71" hidden="1"/>
    <col min="14373" max="14375" width="11.42578125" style="71" hidden="1"/>
    <col min="14376" max="14376" width="30.7109375" style="71" hidden="1"/>
    <col min="14377" max="14584" width="11.42578125" style="71" hidden="1"/>
    <col min="14585" max="14585" width="12.5703125" style="71" hidden="1"/>
    <col min="14586" max="14593" width="5.28515625" style="71" hidden="1"/>
    <col min="14594" max="14594" width="8" style="71" hidden="1"/>
    <col min="14595" max="14595" width="4" style="71" hidden="1"/>
    <col min="14596" max="14596" width="39.42578125" style="71" hidden="1"/>
    <col min="14597" max="14610" width="5.28515625" style="71" hidden="1"/>
    <col min="14611" max="14611" width="10.85546875" style="71" hidden="1"/>
    <col min="14612" max="14612" width="10.140625" style="71" hidden="1"/>
    <col min="14613" max="14613" width="10.5703125" style="71" hidden="1"/>
    <col min="14614" max="14614" width="9.5703125" style="71" hidden="1"/>
    <col min="14615" max="14615" width="5.42578125" style="71" hidden="1"/>
    <col min="14616" max="14616" width="9.28515625" style="71" hidden="1"/>
    <col min="14617" max="14617" width="8.28515625" style="71" hidden="1"/>
    <col min="14618" max="14618" width="9.140625" style="71" hidden="1"/>
    <col min="14619" max="14619" width="11.42578125" style="71" hidden="1"/>
    <col min="14620" max="14623" width="9.28515625" style="71" hidden="1"/>
    <col min="14624" max="14626" width="11.42578125" style="71" hidden="1"/>
    <col min="14627" max="14627" width="18.7109375" style="71" hidden="1"/>
    <col min="14628" max="14628" width="18.85546875" style="71" hidden="1"/>
    <col min="14629" max="14631" width="11.42578125" style="71" hidden="1"/>
    <col min="14632" max="14632" width="30.7109375" style="71" hidden="1"/>
    <col min="14633" max="14840" width="11.42578125" style="71" hidden="1"/>
    <col min="14841" max="14841" width="12.5703125" style="71" hidden="1"/>
    <col min="14842" max="14849" width="5.28515625" style="71" hidden="1"/>
    <col min="14850" max="14850" width="8" style="71" hidden="1"/>
    <col min="14851" max="14851" width="4" style="71" hidden="1"/>
    <col min="14852" max="14852" width="39.42578125" style="71" hidden="1"/>
    <col min="14853" max="14866" width="5.28515625" style="71" hidden="1"/>
    <col min="14867" max="14867" width="10.85546875" style="71" hidden="1"/>
    <col min="14868" max="14868" width="10.140625" style="71" hidden="1"/>
    <col min="14869" max="14869" width="10.5703125" style="71" hidden="1"/>
    <col min="14870" max="14870" width="9.5703125" style="71" hidden="1"/>
    <col min="14871" max="14871" width="5.42578125" style="71" hidden="1"/>
    <col min="14872" max="14872" width="9.28515625" style="71" hidden="1"/>
    <col min="14873" max="14873" width="8.28515625" style="71" hidden="1"/>
    <col min="14874" max="14874" width="9.140625" style="71" hidden="1"/>
    <col min="14875" max="14875" width="11.42578125" style="71" hidden="1"/>
    <col min="14876" max="14879" width="9.28515625" style="71" hidden="1"/>
    <col min="14880" max="14882" width="11.42578125" style="71" hidden="1"/>
    <col min="14883" max="14883" width="18.7109375" style="71" hidden="1"/>
    <col min="14884" max="14884" width="18.85546875" style="71" hidden="1"/>
    <col min="14885" max="14887" width="11.42578125" style="71" hidden="1"/>
    <col min="14888" max="14888" width="30.7109375" style="71" hidden="1"/>
    <col min="14889" max="15096" width="11.42578125" style="71" hidden="1"/>
    <col min="15097" max="15097" width="12.5703125" style="71" hidden="1"/>
    <col min="15098" max="15105" width="5.28515625" style="71" hidden="1"/>
    <col min="15106" max="15106" width="8" style="71" hidden="1"/>
    <col min="15107" max="15107" width="4" style="71" hidden="1"/>
    <col min="15108" max="15108" width="39.42578125" style="71" hidden="1"/>
    <col min="15109" max="15122" width="5.28515625" style="71" hidden="1"/>
    <col min="15123" max="15123" width="10.85546875" style="71" hidden="1"/>
    <col min="15124" max="15124" width="10.140625" style="71" hidden="1"/>
    <col min="15125" max="15125" width="10.5703125" style="71" hidden="1"/>
    <col min="15126" max="15126" width="9.5703125" style="71" hidden="1"/>
    <col min="15127" max="15127" width="5.42578125" style="71" hidden="1"/>
    <col min="15128" max="15128" width="9.28515625" style="71" hidden="1"/>
    <col min="15129" max="15129" width="8.28515625" style="71" hidden="1"/>
    <col min="15130" max="15130" width="9.140625" style="71" hidden="1"/>
    <col min="15131" max="15131" width="11.42578125" style="71" hidden="1"/>
    <col min="15132" max="15135" width="9.28515625" style="71" hidden="1"/>
    <col min="15136" max="15138" width="11.42578125" style="71" hidden="1"/>
    <col min="15139" max="15139" width="18.7109375" style="71" hidden="1"/>
    <col min="15140" max="15140" width="18.85546875" style="71" hidden="1"/>
    <col min="15141" max="15143" width="11.42578125" style="71" hidden="1"/>
    <col min="15144" max="15144" width="30.7109375" style="71" hidden="1"/>
    <col min="15145" max="15352" width="11.42578125" style="71" hidden="1"/>
    <col min="15353" max="15353" width="12.5703125" style="71" hidden="1"/>
    <col min="15354" max="15361" width="5.28515625" style="71" hidden="1"/>
    <col min="15362" max="15362" width="8" style="71" hidden="1"/>
    <col min="15363" max="15363" width="4" style="71" hidden="1"/>
    <col min="15364" max="15364" width="39.42578125" style="71" hidden="1"/>
    <col min="15365" max="15378" width="5.28515625" style="71" hidden="1"/>
    <col min="15379" max="15379" width="10.85546875" style="71" hidden="1"/>
    <col min="15380" max="15380" width="10.140625" style="71" hidden="1"/>
    <col min="15381" max="15381" width="10.5703125" style="71" hidden="1"/>
    <col min="15382" max="15382" width="9.5703125" style="71" hidden="1"/>
    <col min="15383" max="15383" width="5.42578125" style="71" hidden="1"/>
    <col min="15384" max="15384" width="9.28515625" style="71" hidden="1"/>
    <col min="15385" max="15385" width="8.28515625" style="71" hidden="1"/>
    <col min="15386" max="15386" width="9.140625" style="71" hidden="1"/>
    <col min="15387" max="15387" width="11.42578125" style="71" hidden="1"/>
    <col min="15388" max="15391" width="9.28515625" style="71" hidden="1"/>
    <col min="15392" max="15394" width="11.42578125" style="71" hidden="1"/>
    <col min="15395" max="15395" width="18.7109375" style="71" hidden="1"/>
    <col min="15396" max="15396" width="18.85546875" style="71" hidden="1"/>
    <col min="15397" max="15399" width="11.42578125" style="71" hidden="1"/>
    <col min="15400" max="15400" width="30.7109375" style="71" hidden="1"/>
    <col min="15401" max="15608" width="11.42578125" style="71" hidden="1"/>
    <col min="15609" max="15609" width="12.5703125" style="71" hidden="1"/>
    <col min="15610" max="15617" width="5.28515625" style="71" hidden="1"/>
    <col min="15618" max="15618" width="8" style="71" hidden="1"/>
    <col min="15619" max="15619" width="4" style="71" hidden="1"/>
    <col min="15620" max="15620" width="39.42578125" style="71" hidden="1"/>
    <col min="15621" max="15634" width="5.28515625" style="71" hidden="1"/>
    <col min="15635" max="15635" width="10.85546875" style="71" hidden="1"/>
    <col min="15636" max="15636" width="10.140625" style="71" hidden="1"/>
    <col min="15637" max="15637" width="10.5703125" style="71" hidden="1"/>
    <col min="15638" max="15638" width="9.5703125" style="71" hidden="1"/>
    <col min="15639" max="15639" width="5.42578125" style="71" hidden="1"/>
    <col min="15640" max="15640" width="9.28515625" style="71" hidden="1"/>
    <col min="15641" max="15641" width="8.28515625" style="71" hidden="1"/>
    <col min="15642" max="15642" width="9.140625" style="71" hidden="1"/>
    <col min="15643" max="15643" width="11.42578125" style="71" hidden="1"/>
    <col min="15644" max="15647" width="9.28515625" style="71" hidden="1"/>
    <col min="15648" max="15650" width="11.42578125" style="71" hidden="1"/>
    <col min="15651" max="15651" width="18.7109375" style="71" hidden="1"/>
    <col min="15652" max="15652" width="18.85546875" style="71" hidden="1"/>
    <col min="15653" max="15655" width="11.42578125" style="71" hidden="1"/>
    <col min="15656" max="15656" width="30.7109375" style="71" hidden="1"/>
    <col min="15657" max="15864" width="11.42578125" style="71" hidden="1"/>
    <col min="15865" max="15865" width="12.5703125" style="71" hidden="1"/>
    <col min="15866" max="15873" width="5.28515625" style="71" hidden="1"/>
    <col min="15874" max="15874" width="8" style="71" hidden="1"/>
    <col min="15875" max="15875" width="4" style="71" hidden="1"/>
    <col min="15876" max="15876" width="39.42578125" style="71" hidden="1"/>
    <col min="15877" max="15890" width="5.28515625" style="71" hidden="1"/>
    <col min="15891" max="15891" width="10.85546875" style="71" hidden="1"/>
    <col min="15892" max="15892" width="10.140625" style="71" hidden="1"/>
    <col min="15893" max="15893" width="10.5703125" style="71" hidden="1"/>
    <col min="15894" max="15894" width="9.5703125" style="71" hidden="1"/>
    <col min="15895" max="15895" width="5.42578125" style="71" hidden="1"/>
    <col min="15896" max="15896" width="9.28515625" style="71" hidden="1"/>
    <col min="15897" max="15897" width="8.28515625" style="71" hidden="1"/>
    <col min="15898" max="15898" width="9.140625" style="71" hidden="1"/>
    <col min="15899" max="15899" width="11.42578125" style="71" hidden="1"/>
    <col min="15900" max="15903" width="9.28515625" style="71" hidden="1"/>
    <col min="15904" max="15906" width="11.42578125" style="71" hidden="1"/>
    <col min="15907" max="15907" width="18.7109375" style="71" hidden="1"/>
    <col min="15908" max="15908" width="18.85546875" style="71" hidden="1"/>
    <col min="15909" max="15911" width="11.42578125" style="71" hidden="1"/>
    <col min="15912" max="15912" width="30.7109375" style="71" hidden="1"/>
    <col min="15913" max="16120" width="11.42578125" style="71" hidden="1"/>
    <col min="16121" max="16121" width="12.5703125" style="71" hidden="1"/>
    <col min="16122" max="16129" width="5.28515625" style="71" hidden="1"/>
    <col min="16130" max="16130" width="8" style="71" hidden="1"/>
    <col min="16131" max="16131" width="4" style="71" hidden="1"/>
    <col min="16132" max="16132" width="39.42578125" style="71" hidden="1"/>
    <col min="16133" max="16146" width="5.28515625" style="71" hidden="1"/>
    <col min="16147" max="16147" width="10.85546875" style="71" hidden="1"/>
    <col min="16148" max="16148" width="10.140625" style="71" hidden="1"/>
    <col min="16149" max="16149" width="10.5703125" style="71" hidden="1"/>
    <col min="16150" max="16150" width="9.5703125" style="71" hidden="1"/>
    <col min="16151" max="16151" width="5.42578125" style="71" hidden="1"/>
    <col min="16152" max="16152" width="9.28515625" style="71" hidden="1"/>
    <col min="16153" max="16153" width="8.28515625" style="71" hidden="1"/>
    <col min="16154" max="16154" width="9.140625" style="71" hidden="1"/>
    <col min="16155" max="16155" width="11.42578125" style="71" hidden="1"/>
    <col min="16156" max="16159" width="9.28515625" style="71" hidden="1"/>
    <col min="16160" max="16162" width="11.42578125" style="71" hidden="1"/>
    <col min="16163" max="16163" width="18.7109375" style="71" hidden="1"/>
    <col min="16164" max="16164" width="18.85546875" style="71" hidden="1"/>
    <col min="16165" max="16167" width="11.42578125" style="71" hidden="1"/>
    <col min="16168" max="16168" width="30.7109375" style="71" hidden="1"/>
    <col min="16169" max="16384" width="11.42578125" style="71" hidden="1"/>
  </cols>
  <sheetData>
    <row r="1" spans="1:37" ht="15" x14ac:dyDescent="0.25">
      <c r="A1" s="99" t="s">
        <v>189</v>
      </c>
      <c r="B1" s="144" t="s">
        <v>293</v>
      </c>
      <c r="C1" s="97" t="s">
        <v>175</v>
      </c>
      <c r="D1" s="194" t="s">
        <v>303</v>
      </c>
      <c r="E1" s="219" t="s">
        <v>287</v>
      </c>
      <c r="F1" s="219"/>
      <c r="G1" s="219"/>
      <c r="H1" s="219"/>
      <c r="I1" s="219"/>
      <c r="J1" s="219"/>
      <c r="K1" s="219"/>
      <c r="L1" s="219"/>
      <c r="M1" s="219"/>
      <c r="N1" s="219"/>
      <c r="O1" s="219"/>
      <c r="P1" s="219"/>
      <c r="Q1" s="219"/>
      <c r="R1" s="219"/>
      <c r="S1" s="219"/>
      <c r="T1" s="219"/>
      <c r="U1" s="219"/>
      <c r="V1" s="219"/>
      <c r="W1" s="87"/>
      <c r="X1" s="87"/>
      <c r="Y1" s="87"/>
      <c r="Z1" s="87"/>
      <c r="AA1" s="87"/>
      <c r="AB1" s="87"/>
      <c r="AC1" s="88"/>
      <c r="AD1" s="88"/>
      <c r="AE1" s="88"/>
      <c r="AF1" s="102"/>
      <c r="AG1" s="88"/>
      <c r="AH1" s="88"/>
      <c r="AI1" s="88"/>
      <c r="AJ1" s="88"/>
    </row>
    <row r="2" spans="1:37" ht="15" x14ac:dyDescent="0.25">
      <c r="A2" s="99" t="s">
        <v>190</v>
      </c>
      <c r="B2" s="144">
        <v>2022</v>
      </c>
      <c r="C2" s="97" t="s">
        <v>176</v>
      </c>
      <c r="D2" s="193" t="s">
        <v>302</v>
      </c>
      <c r="E2" s="87"/>
      <c r="F2" s="87"/>
      <c r="G2" s="87"/>
      <c r="H2" s="87"/>
      <c r="I2" s="87"/>
      <c r="J2" s="87"/>
      <c r="K2" s="87"/>
      <c r="L2" s="87"/>
      <c r="M2" s="87"/>
      <c r="N2" s="87"/>
      <c r="O2" s="87"/>
      <c r="P2" s="87"/>
      <c r="Q2" s="87"/>
      <c r="R2" s="87"/>
      <c r="S2" s="87"/>
      <c r="T2" s="87"/>
      <c r="U2" s="87"/>
      <c r="V2" s="87"/>
      <c r="W2" s="87"/>
      <c r="X2" s="87"/>
      <c r="Y2" s="87"/>
      <c r="Z2" s="87"/>
      <c r="AA2" s="87"/>
      <c r="AB2" s="87"/>
      <c r="AC2" s="88"/>
      <c r="AD2" s="88"/>
      <c r="AE2" s="88"/>
      <c r="AF2" s="88"/>
      <c r="AG2" s="88"/>
      <c r="AH2" s="88"/>
      <c r="AI2" s="88"/>
      <c r="AJ2" s="88"/>
    </row>
    <row r="3" spans="1:37" ht="13.5" x14ac:dyDescent="0.25">
      <c r="A3" s="113"/>
      <c r="B3" s="114"/>
      <c r="C3" s="114"/>
      <c r="D3" s="87"/>
      <c r="E3" s="106" t="s">
        <v>174</v>
      </c>
      <c r="F3" s="93"/>
      <c r="G3" s="94"/>
      <c r="H3" s="94"/>
      <c r="I3" s="95"/>
      <c r="J3" s="95"/>
      <c r="K3" s="95"/>
      <c r="L3" s="95"/>
      <c r="M3" s="95"/>
      <c r="N3" s="95"/>
      <c r="O3" s="95"/>
      <c r="P3" s="95"/>
      <c r="Q3" s="95"/>
      <c r="R3" s="95"/>
      <c r="S3" s="95"/>
      <c r="T3" s="95"/>
      <c r="U3" s="96"/>
      <c r="V3" s="89"/>
      <c r="W3" s="89"/>
      <c r="X3" s="89"/>
      <c r="Y3" s="89"/>
      <c r="Z3" s="89"/>
      <c r="AA3" s="89"/>
      <c r="AB3" s="89"/>
      <c r="AC3" s="88"/>
      <c r="AD3" s="88"/>
      <c r="AE3" s="88"/>
      <c r="AF3" s="88"/>
      <c r="AG3" s="88"/>
      <c r="AH3" s="88"/>
      <c r="AI3" s="88"/>
      <c r="AJ3" s="88"/>
    </row>
    <row r="4" spans="1:37" ht="96" customHeight="1" x14ac:dyDescent="0.25">
      <c r="A4" s="132" t="s">
        <v>224</v>
      </c>
      <c r="B4" s="133" t="s">
        <v>191</v>
      </c>
      <c r="C4" s="133" t="s">
        <v>192</v>
      </c>
      <c r="D4" s="133" t="s">
        <v>193</v>
      </c>
      <c r="E4" s="217" t="s">
        <v>194</v>
      </c>
      <c r="F4" s="217" t="s">
        <v>195</v>
      </c>
      <c r="G4" s="217" t="s">
        <v>196</v>
      </c>
      <c r="H4" s="217" t="s">
        <v>197</v>
      </c>
      <c r="I4" s="217" t="s">
        <v>198</v>
      </c>
      <c r="J4" s="217" t="s">
        <v>199</v>
      </c>
      <c r="K4" s="217" t="s">
        <v>200</v>
      </c>
      <c r="L4" s="217" t="s">
        <v>201</v>
      </c>
      <c r="M4" s="217" t="s">
        <v>202</v>
      </c>
      <c r="N4" s="217" t="s">
        <v>203</v>
      </c>
      <c r="O4" s="217" t="s">
        <v>204</v>
      </c>
      <c r="P4" s="217" t="s">
        <v>205</v>
      </c>
      <c r="Q4" s="217" t="s">
        <v>206</v>
      </c>
      <c r="R4" s="217" t="s">
        <v>207</v>
      </c>
      <c r="S4" s="217" t="s">
        <v>208</v>
      </c>
      <c r="T4" s="217" t="s">
        <v>209</v>
      </c>
      <c r="U4" s="217" t="s">
        <v>210</v>
      </c>
      <c r="V4" s="134" t="s">
        <v>211</v>
      </c>
      <c r="W4" s="135" t="s">
        <v>212</v>
      </c>
      <c r="X4" s="214" t="s">
        <v>213</v>
      </c>
      <c r="Y4" s="215"/>
      <c r="Z4" s="216"/>
      <c r="AA4" s="222" t="s">
        <v>229</v>
      </c>
      <c r="AB4" s="223"/>
      <c r="AC4" s="224"/>
      <c r="AD4" s="135" t="s">
        <v>214</v>
      </c>
      <c r="AE4" s="135" t="s">
        <v>215</v>
      </c>
      <c r="AF4" s="135" t="s">
        <v>216</v>
      </c>
      <c r="AG4" s="134" t="s">
        <v>217</v>
      </c>
      <c r="AH4" s="134" t="s">
        <v>218</v>
      </c>
      <c r="AI4" s="134" t="s">
        <v>219</v>
      </c>
      <c r="AJ4" s="133" t="s">
        <v>220</v>
      </c>
    </row>
    <row r="5" spans="1:37" ht="12.75" customHeight="1" x14ac:dyDescent="0.25">
      <c r="A5" s="136"/>
      <c r="B5" s="137"/>
      <c r="C5" s="138"/>
      <c r="D5" s="139"/>
      <c r="E5" s="218"/>
      <c r="F5" s="218"/>
      <c r="G5" s="218"/>
      <c r="H5" s="218"/>
      <c r="I5" s="218"/>
      <c r="J5" s="218"/>
      <c r="K5" s="218"/>
      <c r="L5" s="218"/>
      <c r="M5" s="218"/>
      <c r="N5" s="218"/>
      <c r="O5" s="218"/>
      <c r="P5" s="218"/>
      <c r="Q5" s="218"/>
      <c r="R5" s="218"/>
      <c r="S5" s="218"/>
      <c r="T5" s="218"/>
      <c r="U5" s="218"/>
      <c r="V5" s="140" t="s">
        <v>221</v>
      </c>
      <c r="W5" s="140" t="s">
        <v>221</v>
      </c>
      <c r="X5" s="141" t="s">
        <v>4</v>
      </c>
      <c r="Y5" s="141" t="s">
        <v>222</v>
      </c>
      <c r="Z5" s="133" t="s">
        <v>223</v>
      </c>
      <c r="AA5" s="141" t="s">
        <v>4</v>
      </c>
      <c r="AB5" s="141" t="s">
        <v>222</v>
      </c>
      <c r="AC5" s="133" t="s">
        <v>223</v>
      </c>
      <c r="AD5" s="140" t="s">
        <v>221</v>
      </c>
      <c r="AE5" s="140" t="s">
        <v>221</v>
      </c>
      <c r="AF5" s="140" t="s">
        <v>221</v>
      </c>
      <c r="AG5" s="142" t="s">
        <v>283</v>
      </c>
      <c r="AH5" s="142" t="s">
        <v>283</v>
      </c>
      <c r="AI5" s="142" t="s">
        <v>283</v>
      </c>
      <c r="AJ5" s="143"/>
      <c r="AK5" s="80"/>
    </row>
    <row r="6" spans="1:37" s="116" customFormat="1" ht="140.25" x14ac:dyDescent="0.25">
      <c r="A6" s="157" t="s">
        <v>225</v>
      </c>
      <c r="B6" s="159" t="s">
        <v>298</v>
      </c>
      <c r="C6" s="159" t="s">
        <v>297</v>
      </c>
      <c r="D6" s="160" t="s">
        <v>304</v>
      </c>
      <c r="E6" s="160" t="s">
        <v>7</v>
      </c>
      <c r="F6" s="160" t="s">
        <v>7</v>
      </c>
      <c r="G6" s="160" t="s">
        <v>7</v>
      </c>
      <c r="H6" s="160"/>
      <c r="I6" s="160"/>
      <c r="J6" s="160"/>
      <c r="K6" s="160"/>
      <c r="L6" s="160"/>
      <c r="M6" s="160"/>
      <c r="N6" s="160"/>
      <c r="O6" s="160"/>
      <c r="P6" s="160"/>
      <c r="Q6" s="160"/>
      <c r="R6" s="160"/>
      <c r="S6" s="160"/>
      <c r="T6" s="160"/>
      <c r="U6" s="160"/>
      <c r="V6" s="160" t="s">
        <v>271</v>
      </c>
      <c r="W6" s="160" t="s">
        <v>279</v>
      </c>
      <c r="X6" s="162">
        <v>198399</v>
      </c>
      <c r="Y6" s="162">
        <v>138442.8222</v>
      </c>
      <c r="Z6" s="162">
        <v>59956.177800000005</v>
      </c>
      <c r="AA6" s="162">
        <v>1329</v>
      </c>
      <c r="AB6" s="162">
        <v>1091</v>
      </c>
      <c r="AC6" s="162">
        <v>238</v>
      </c>
      <c r="AD6" s="160" t="s">
        <v>282</v>
      </c>
      <c r="AE6" s="160" t="s">
        <v>282</v>
      </c>
      <c r="AF6" s="160" t="s">
        <v>284</v>
      </c>
      <c r="AG6" s="220">
        <v>34.4</v>
      </c>
      <c r="AH6" s="220">
        <v>14</v>
      </c>
      <c r="AI6" s="200">
        <v>52.4</v>
      </c>
      <c r="AJ6" s="161" t="s">
        <v>312</v>
      </c>
      <c r="AK6" s="115"/>
    </row>
    <row r="7" spans="1:37" s="117" customFormat="1" ht="140.25" x14ac:dyDescent="0.25">
      <c r="A7" s="158" t="s">
        <v>226</v>
      </c>
      <c r="B7" s="197" t="s">
        <v>299</v>
      </c>
      <c r="C7" s="197" t="s">
        <v>300</v>
      </c>
      <c r="D7" s="204" t="s">
        <v>304</v>
      </c>
      <c r="E7" s="204" t="s">
        <v>7</v>
      </c>
      <c r="F7" s="204"/>
      <c r="G7" s="204" t="s">
        <v>301</v>
      </c>
      <c r="H7" s="204"/>
      <c r="I7" s="204"/>
      <c r="J7" s="204"/>
      <c r="K7" s="204"/>
      <c r="L7" s="204"/>
      <c r="M7" s="204"/>
      <c r="N7" s="204"/>
      <c r="O7" s="204"/>
      <c r="P7" s="204"/>
      <c r="Q7" s="204"/>
      <c r="R7" s="204"/>
      <c r="S7" s="204"/>
      <c r="T7" s="204"/>
      <c r="U7" s="204"/>
      <c r="V7" s="198" t="s">
        <v>272</v>
      </c>
      <c r="W7" s="198"/>
      <c r="X7" s="205"/>
      <c r="Y7" s="205"/>
      <c r="Z7" s="205"/>
      <c r="AA7" s="205">
        <v>3653</v>
      </c>
      <c r="AB7" s="205">
        <v>3268</v>
      </c>
      <c r="AC7" s="205">
        <v>385</v>
      </c>
      <c r="AD7" s="198" t="s">
        <v>282</v>
      </c>
      <c r="AE7" s="198" t="s">
        <v>282</v>
      </c>
      <c r="AF7" s="198" t="s">
        <v>285</v>
      </c>
      <c r="AG7" s="221"/>
      <c r="AH7" s="221"/>
      <c r="AI7" s="200">
        <v>9.8000000000000007</v>
      </c>
      <c r="AJ7" s="206" t="s">
        <v>313</v>
      </c>
      <c r="AK7" s="115"/>
    </row>
    <row r="8" spans="1:37" s="115" customFormat="1" ht="13.5" x14ac:dyDescent="0.25">
      <c r="A8" s="195" t="s">
        <v>227</v>
      </c>
      <c r="B8" s="196" t="s">
        <v>228</v>
      </c>
      <c r="C8" s="124"/>
      <c r="D8" s="103"/>
      <c r="E8" s="103"/>
      <c r="F8" s="103"/>
      <c r="G8" s="103"/>
      <c r="H8" s="103"/>
      <c r="I8" s="103"/>
      <c r="J8" s="103"/>
      <c r="K8" s="103"/>
      <c r="L8" s="103"/>
      <c r="M8" s="103"/>
      <c r="N8" s="103"/>
      <c r="O8" s="103"/>
      <c r="P8" s="103"/>
      <c r="Q8" s="103"/>
      <c r="R8" s="103"/>
      <c r="S8" s="103"/>
      <c r="T8" s="103"/>
      <c r="U8" s="103"/>
      <c r="V8" s="103"/>
      <c r="W8" s="103"/>
      <c r="X8" s="125"/>
      <c r="Y8" s="125"/>
      <c r="Z8" s="125"/>
      <c r="AA8" s="125"/>
      <c r="AB8" s="201"/>
      <c r="AC8" s="201"/>
      <c r="AD8" s="103"/>
      <c r="AE8" s="103"/>
      <c r="AF8" s="103"/>
      <c r="AG8" s="199"/>
      <c r="AH8" s="103"/>
      <c r="AI8" s="203"/>
      <c r="AJ8" s="103"/>
    </row>
    <row r="9" spans="1:37" s="81" customFormat="1" ht="13.5" x14ac:dyDescent="0.25">
      <c r="A9" s="123"/>
      <c r="B9" s="120"/>
      <c r="C9" s="121"/>
      <c r="D9" s="112"/>
      <c r="E9" s="112"/>
      <c r="F9" s="112"/>
      <c r="G9" s="112"/>
      <c r="H9" s="112"/>
      <c r="I9" s="112"/>
      <c r="J9" s="112"/>
      <c r="K9" s="112"/>
      <c r="L9" s="112"/>
      <c r="M9" s="112"/>
      <c r="N9" s="112"/>
      <c r="O9" s="112"/>
      <c r="P9" s="112"/>
      <c r="Q9" s="112"/>
      <c r="R9" s="112"/>
      <c r="S9" s="112"/>
      <c r="T9" s="112"/>
      <c r="U9" s="112"/>
      <c r="V9" s="112"/>
      <c r="W9" s="112"/>
      <c r="X9" s="122"/>
      <c r="Y9" s="122"/>
      <c r="Z9" s="122"/>
      <c r="AA9" s="122"/>
      <c r="AB9" s="202"/>
      <c r="AC9" s="202"/>
      <c r="AD9" s="112"/>
      <c r="AE9" s="112"/>
      <c r="AF9" s="112"/>
      <c r="AG9" s="112"/>
      <c r="AH9" s="112"/>
      <c r="AI9" s="112"/>
      <c r="AJ9" s="112"/>
    </row>
    <row r="10" spans="1:37" s="74" customFormat="1" ht="135" customHeight="1" x14ac:dyDescent="0.25">
      <c r="A10" s="108" t="s">
        <v>12</v>
      </c>
      <c r="B10" s="100" t="s">
        <v>306</v>
      </c>
      <c r="C10" s="101" t="s">
        <v>14</v>
      </c>
      <c r="D10" s="100" t="s">
        <v>304</v>
      </c>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103"/>
      <c r="AG10" s="79"/>
      <c r="AH10" s="79"/>
      <c r="AI10" s="79"/>
      <c r="AJ10" s="79"/>
      <c r="AK10" s="79"/>
    </row>
    <row r="11" spans="1:37" s="74" customFormat="1" x14ac:dyDescent="0.25">
      <c r="A11" s="79"/>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103"/>
      <c r="AG11" s="79"/>
      <c r="AH11" s="79"/>
      <c r="AI11" s="79"/>
      <c r="AJ11" s="79"/>
      <c r="AK11" s="79"/>
    </row>
    <row r="12" spans="1:37" s="75" customFormat="1" hidden="1" x14ac:dyDescent="0.25">
      <c r="A12" s="74"/>
      <c r="B12" s="72"/>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104"/>
      <c r="AK12" s="82"/>
    </row>
    <row r="13" spans="1:37" hidden="1" x14ac:dyDescent="0.25">
      <c r="A13" s="77"/>
      <c r="B13" s="76"/>
      <c r="C13" s="76"/>
      <c r="D13" s="76"/>
      <c r="E13" s="76"/>
      <c r="F13" s="76"/>
      <c r="G13" s="76"/>
      <c r="H13" s="76"/>
      <c r="I13" s="76"/>
      <c r="J13" s="76"/>
      <c r="K13" s="76"/>
      <c r="L13" s="76"/>
      <c r="M13" s="76"/>
      <c r="N13" s="76"/>
      <c r="O13" s="76"/>
      <c r="P13" s="76"/>
      <c r="Q13" s="76"/>
      <c r="R13" s="76"/>
      <c r="S13" s="76"/>
      <c r="T13" s="76"/>
      <c r="U13" s="76"/>
      <c r="V13" s="76"/>
      <c r="W13" s="76"/>
      <c r="X13" s="76"/>
      <c r="Y13" s="76"/>
      <c r="Z13" s="76"/>
      <c r="AA13" s="77"/>
      <c r="AB13" s="77"/>
    </row>
    <row r="14" spans="1:37" hidden="1" x14ac:dyDescent="0.25">
      <c r="A14" s="77"/>
      <c r="B14" s="76"/>
      <c r="C14" s="76"/>
      <c r="D14" s="76"/>
      <c r="E14" s="76"/>
      <c r="F14" s="76"/>
      <c r="G14" s="76"/>
      <c r="H14" s="76"/>
      <c r="I14" s="76"/>
      <c r="J14" s="76"/>
      <c r="K14" s="76"/>
      <c r="L14" s="76"/>
      <c r="M14" s="76"/>
      <c r="N14" s="76"/>
      <c r="O14" s="76"/>
      <c r="P14" s="76"/>
      <c r="Q14" s="76"/>
      <c r="R14" s="76"/>
      <c r="S14" s="76"/>
      <c r="T14" s="76"/>
      <c r="U14" s="76"/>
      <c r="V14" s="76"/>
      <c r="W14" s="76"/>
      <c r="X14" s="76"/>
      <c r="Y14" s="76"/>
      <c r="Z14" s="76"/>
      <c r="AA14" s="77"/>
      <c r="AB14" s="77"/>
    </row>
    <row r="15" spans="1:37" x14ac:dyDescent="0.25"/>
    <row r="16" spans="1:37"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ht="12.75" hidden="1" customHeight="1"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ht="25.5" hidden="1" customHeight="1" x14ac:dyDescent="0.25"/>
    <row r="43" x14ac:dyDescent="0.25"/>
    <row r="44" x14ac:dyDescent="0.25"/>
    <row r="45" x14ac:dyDescent="0.25"/>
    <row r="46" x14ac:dyDescent="0.25"/>
    <row r="47" x14ac:dyDescent="0.25"/>
    <row r="48" x14ac:dyDescent="0.25"/>
    <row r="49" x14ac:dyDescent="0.25"/>
    <row r="50" x14ac:dyDescent="0.25"/>
    <row r="51" x14ac:dyDescent="0.25"/>
    <row r="64" x14ac:dyDescent="0.25"/>
    <row r="66" x14ac:dyDescent="0.25"/>
    <row r="79" x14ac:dyDescent="0.25"/>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2">
    <mergeCell ref="AG6:AG7"/>
    <mergeCell ref="AH6:AH7"/>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A7:AF7 AJ7">
    <cfRule type="expression" dxfId="131" priority="2">
      <formula>MOD(ROW(),2)=0</formula>
    </cfRule>
    <cfRule type="expression" dxfId="130" priority="27">
      <formula>MOD(ROW(),2)=1</formula>
    </cfRule>
  </conditionalFormatting>
  <conditionalFormatting sqref="W6:Z9">
    <cfRule type="expression" dxfId="129" priority="1">
      <formula>$V6=#REF!</formula>
    </cfRule>
  </conditionalFormatting>
  <dataValidations xWindow="1223" yWindow="445" count="10">
    <dataValidation type="list" allowBlank="1" showInputMessage="1" showErrorMessage="1" prompt="Please select from the list" sqref="WWG982907:WWH983044 JU6:JV7 TQ6:TR7 ADM6:ADN7 ANI6:ANJ7 AXE6:AXF7 BHA6:BHB7 BQW6:BQX7 CAS6:CAT7 CKO6:CKP7 CUK6:CUL7 DEG6:DEH7 DOC6:DOD7 DXY6:DXZ7 EHU6:EHV7 ERQ6:ERR7 FBM6:FBN7 FLI6:FLJ7 FVE6:FVF7 GFA6:GFB7 GOW6:GOX7 GYS6:GYT7 HIO6:HIP7 HSK6:HSL7 ICG6:ICH7 IMC6:IMD7 IVY6:IVZ7 JFU6:JFV7 JPQ6:JPR7 JZM6:JZN7 KJI6:KJJ7 KTE6:KTF7 LDA6:LDB7 LMW6:LMX7 LWS6:LWT7 MGO6:MGP7 MQK6:MQL7 NAG6:NAH7 NKC6:NKD7 NTY6:NTZ7 ODU6:ODV7 ONQ6:ONR7 OXM6:OXN7 PHI6:PHJ7 PRE6:PRF7 QBA6:QBB7 QKW6:QKX7 QUS6:QUT7 REO6:REP7 ROK6:ROL7 RYG6:RYH7 SIC6:SID7 SRY6:SRZ7 TBU6:TBV7 TLQ6:TLR7 TVM6:TVN7 UFI6:UFJ7 UPE6:UPF7 UZA6:UZB7 VIW6:VIX7 VSS6:VST7 WCO6:WCP7 WMK6:WML7 WWG6:WWH7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formula1>#REF!</formula1>
    </dataValidation>
    <dataValidation type="list" allowBlank="1" showInputMessage="1" showErrorMessage="1" 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formula1>#REF!</formula1>
    </dataValidation>
    <dataValidation type="list" allowBlank="1" showInputMessage="1" showErrorMessage="1" prompt="Please select from the list" sqref="AD65403:AE65403 WWE982909:WWF983044 WMI982909:WMJ983044 WCM982909:WCN983044 VSQ982909:VSR983044 VIU982909:VIV983044 UYY982909:UYZ983044 UPC982909:UPD983044 UFG982909:UFH983044 TVK982909:TVL983044 TLO982909:TLP983044 TBS982909:TBT983044 SRW982909:SRX983044 SIA982909:SIB983044 RYE982909:RYF983044 ROI982909:ROJ983044 REM982909:REN983044 QUQ982909:QUR983044 QKU982909:QKV983044 QAY982909:QAZ983044 PRC982909:PRD983044 PHG982909:PHH983044 OXK982909:OXL983044 ONO982909:ONP983044 ODS982909:ODT983044 NTW982909:NTX983044 NKA982909:NKB983044 NAE982909:NAF983044 MQI982909:MQJ983044 MGM982909:MGN983044 LWQ982909:LWR983044 LMU982909:LMV983044 LCY982909:LCZ983044 KTC982909:KTD983044 KJG982909:KJH983044 JZK982909:JZL983044 JPO982909:JPP983044 JFS982909:JFT983044 IVW982909:IVX983044 IMA982909:IMB983044 ICE982909:ICF983044 HSI982909:HSJ983044 HIM982909:HIN983044 GYQ982909:GYR983044 GOU982909:GOV983044 GEY982909:GEZ983044 FVC982909:FVD983044 FLG982909:FLH983044 FBK982909:FBL983044 ERO982909:ERP983044 EHS982909:EHT983044 DXW982909:DXX983044 DOA982909:DOB983044 DEE982909:DEF983044 CUI982909:CUJ983044 CKM982909:CKN983044 CAQ982909:CAR983044 BQU982909:BQV983044 BGY982909:BGZ983044 AXC982909:AXD983044 ANG982909:ANH983044 ADK982909:ADL983044 TO982909:TP983044 JS982909:JT983044 AD982909:AE983044 WWE917373:WWF917508 WMI917373:WMJ917508 WCM917373:WCN917508 VSQ917373:VSR917508 VIU917373:VIV917508 UYY917373:UYZ917508 UPC917373:UPD917508 UFG917373:UFH917508 TVK917373:TVL917508 TLO917373:TLP917508 TBS917373:TBT917508 SRW917373:SRX917508 SIA917373:SIB917508 RYE917373:RYF917508 ROI917373:ROJ917508 REM917373:REN917508 QUQ917373:QUR917508 QKU917373:QKV917508 QAY917373:QAZ917508 PRC917373:PRD917508 PHG917373:PHH917508 OXK917373:OXL917508 ONO917373:ONP917508 ODS917373:ODT917508 NTW917373:NTX917508 NKA917373:NKB917508 NAE917373:NAF917508 MQI917373:MQJ917508 MGM917373:MGN917508 LWQ917373:LWR917508 LMU917373:LMV917508 LCY917373:LCZ917508 KTC917373:KTD917508 KJG917373:KJH917508 JZK917373:JZL917508 JPO917373:JPP917508 JFS917373:JFT917508 IVW917373:IVX917508 IMA917373:IMB917508 ICE917373:ICF917508 HSI917373:HSJ917508 HIM917373:HIN917508 GYQ917373:GYR917508 GOU917373:GOV917508 GEY917373:GEZ917508 FVC917373:FVD917508 FLG917373:FLH917508 FBK917373:FBL917508 ERO917373:ERP917508 EHS917373:EHT917508 DXW917373:DXX917508 DOA917373:DOB917508 DEE917373:DEF917508 CUI917373:CUJ917508 CKM917373:CKN917508 CAQ917373:CAR917508 BQU917373:BQV917508 BGY917373:BGZ917508 AXC917373:AXD917508 ANG917373:ANH917508 ADK917373:ADL917508 TO917373:TP917508 JS917373:JT917508 AD917373:AE917508 WWE851837:WWF851972 WMI851837:WMJ851972 WCM851837:WCN851972 VSQ851837:VSR851972 VIU851837:VIV851972 UYY851837:UYZ851972 UPC851837:UPD851972 UFG851837:UFH851972 TVK851837:TVL851972 TLO851837:TLP851972 TBS851837:TBT851972 SRW851837:SRX851972 SIA851837:SIB851972 RYE851837:RYF851972 ROI851837:ROJ851972 REM851837:REN851972 QUQ851837:QUR851972 QKU851837:QKV851972 QAY851837:QAZ851972 PRC851837:PRD851972 PHG851837:PHH851972 OXK851837:OXL851972 ONO851837:ONP851972 ODS851837:ODT851972 NTW851837:NTX851972 NKA851837:NKB851972 NAE851837:NAF851972 MQI851837:MQJ851972 MGM851837:MGN851972 LWQ851837:LWR851972 LMU851837:LMV851972 LCY851837:LCZ851972 KTC851837:KTD851972 KJG851837:KJH851972 JZK851837:JZL851972 JPO851837:JPP851972 JFS851837:JFT851972 IVW851837:IVX851972 IMA851837:IMB851972 ICE851837:ICF851972 HSI851837:HSJ851972 HIM851837:HIN851972 GYQ851837:GYR851972 GOU851837:GOV851972 GEY851837:GEZ851972 FVC851837:FVD851972 FLG851837:FLH851972 FBK851837:FBL851972 ERO851837:ERP851972 EHS851837:EHT851972 DXW851837:DXX851972 DOA851837:DOB851972 DEE851837:DEF851972 CUI851837:CUJ851972 CKM851837:CKN851972 CAQ851837:CAR851972 BQU851837:BQV851972 BGY851837:BGZ851972 AXC851837:AXD851972 ANG851837:ANH851972 ADK851837:ADL851972 TO851837:TP851972 JS851837:JT851972 AD851837:AE851972 WWE786301:WWF786436 WMI786301:WMJ786436 WCM786301:WCN786436 VSQ786301:VSR786436 VIU786301:VIV786436 UYY786301:UYZ786436 UPC786301:UPD786436 UFG786301:UFH786436 TVK786301:TVL786436 TLO786301:TLP786436 TBS786301:TBT786436 SRW786301:SRX786436 SIA786301:SIB786436 RYE786301:RYF786436 ROI786301:ROJ786436 REM786301:REN786436 QUQ786301:QUR786436 QKU786301:QKV786436 QAY786301:QAZ786436 PRC786301:PRD786436 PHG786301:PHH786436 OXK786301:OXL786436 ONO786301:ONP786436 ODS786301:ODT786436 NTW786301:NTX786436 NKA786301:NKB786436 NAE786301:NAF786436 MQI786301:MQJ786436 MGM786301:MGN786436 LWQ786301:LWR786436 LMU786301:LMV786436 LCY786301:LCZ786436 KTC786301:KTD786436 KJG786301:KJH786436 JZK786301:JZL786436 JPO786301:JPP786436 JFS786301:JFT786436 IVW786301:IVX786436 IMA786301:IMB786436 ICE786301:ICF786436 HSI786301:HSJ786436 HIM786301:HIN786436 GYQ786301:GYR786436 GOU786301:GOV786436 GEY786301:GEZ786436 FVC786301:FVD786436 FLG786301:FLH786436 FBK786301:FBL786436 ERO786301:ERP786436 EHS786301:EHT786436 DXW786301:DXX786436 DOA786301:DOB786436 DEE786301:DEF786436 CUI786301:CUJ786436 CKM786301:CKN786436 CAQ786301:CAR786436 BQU786301:BQV786436 BGY786301:BGZ786436 AXC786301:AXD786436 ANG786301:ANH786436 ADK786301:ADL786436 TO786301:TP786436 JS786301:JT786436 AD786301:AE786436 WWE720765:WWF720900 WMI720765:WMJ720900 WCM720765:WCN720900 VSQ720765:VSR720900 VIU720765:VIV720900 UYY720765:UYZ720900 UPC720765:UPD720900 UFG720765:UFH720900 TVK720765:TVL720900 TLO720765:TLP720900 TBS720765:TBT720900 SRW720765:SRX720900 SIA720765:SIB720900 RYE720765:RYF720900 ROI720765:ROJ720900 REM720765:REN720900 QUQ720765:QUR720900 QKU720765:QKV720900 QAY720765:QAZ720900 PRC720765:PRD720900 PHG720765:PHH720900 OXK720765:OXL720900 ONO720765:ONP720900 ODS720765:ODT720900 NTW720765:NTX720900 NKA720765:NKB720900 NAE720765:NAF720900 MQI720765:MQJ720900 MGM720765:MGN720900 LWQ720765:LWR720900 LMU720765:LMV720900 LCY720765:LCZ720900 KTC720765:KTD720900 KJG720765:KJH720900 JZK720765:JZL720900 JPO720765:JPP720900 JFS720765:JFT720900 IVW720765:IVX720900 IMA720765:IMB720900 ICE720765:ICF720900 HSI720765:HSJ720900 HIM720765:HIN720900 GYQ720765:GYR720900 GOU720765:GOV720900 GEY720765:GEZ720900 FVC720765:FVD720900 FLG720765:FLH720900 FBK720765:FBL720900 ERO720765:ERP720900 EHS720765:EHT720900 DXW720765:DXX720900 DOA720765:DOB720900 DEE720765:DEF720900 CUI720765:CUJ720900 CKM720765:CKN720900 CAQ720765:CAR720900 BQU720765:BQV720900 BGY720765:BGZ720900 AXC720765:AXD720900 ANG720765:ANH720900 ADK720765:ADL720900 TO720765:TP720900 JS720765:JT720900 AD720765:AE720900 WWE655229:WWF655364 WMI655229:WMJ655364 WCM655229:WCN655364 VSQ655229:VSR655364 VIU655229:VIV655364 UYY655229:UYZ655364 UPC655229:UPD655364 UFG655229:UFH655364 TVK655229:TVL655364 TLO655229:TLP655364 TBS655229:TBT655364 SRW655229:SRX655364 SIA655229:SIB655364 RYE655229:RYF655364 ROI655229:ROJ655364 REM655229:REN655364 QUQ655229:QUR655364 QKU655229:QKV655364 QAY655229:QAZ655364 PRC655229:PRD655364 PHG655229:PHH655364 OXK655229:OXL655364 ONO655229:ONP655364 ODS655229:ODT655364 NTW655229:NTX655364 NKA655229:NKB655364 NAE655229:NAF655364 MQI655229:MQJ655364 MGM655229:MGN655364 LWQ655229:LWR655364 LMU655229:LMV655364 LCY655229:LCZ655364 KTC655229:KTD655364 KJG655229:KJH655364 JZK655229:JZL655364 JPO655229:JPP655364 JFS655229:JFT655364 IVW655229:IVX655364 IMA655229:IMB655364 ICE655229:ICF655364 HSI655229:HSJ655364 HIM655229:HIN655364 GYQ655229:GYR655364 GOU655229:GOV655364 GEY655229:GEZ655364 FVC655229:FVD655364 FLG655229:FLH655364 FBK655229:FBL655364 ERO655229:ERP655364 EHS655229:EHT655364 DXW655229:DXX655364 DOA655229:DOB655364 DEE655229:DEF655364 CUI655229:CUJ655364 CKM655229:CKN655364 CAQ655229:CAR655364 BQU655229:BQV655364 BGY655229:BGZ655364 AXC655229:AXD655364 ANG655229:ANH655364 ADK655229:ADL655364 TO655229:TP655364 JS655229:JT655364 AD655229:AE655364 WWE589693:WWF589828 WMI589693:WMJ589828 WCM589693:WCN589828 VSQ589693:VSR589828 VIU589693:VIV589828 UYY589693:UYZ589828 UPC589693:UPD589828 UFG589693:UFH589828 TVK589693:TVL589828 TLO589693:TLP589828 TBS589693:TBT589828 SRW589693:SRX589828 SIA589693:SIB589828 RYE589693:RYF589828 ROI589693:ROJ589828 REM589693:REN589828 QUQ589693:QUR589828 QKU589693:QKV589828 QAY589693:QAZ589828 PRC589693:PRD589828 PHG589693:PHH589828 OXK589693:OXL589828 ONO589693:ONP589828 ODS589693:ODT589828 NTW589693:NTX589828 NKA589693:NKB589828 NAE589693:NAF589828 MQI589693:MQJ589828 MGM589693:MGN589828 LWQ589693:LWR589828 LMU589693:LMV589828 LCY589693:LCZ589828 KTC589693:KTD589828 KJG589693:KJH589828 JZK589693:JZL589828 JPO589693:JPP589828 JFS589693:JFT589828 IVW589693:IVX589828 IMA589693:IMB589828 ICE589693:ICF589828 HSI589693:HSJ589828 HIM589693:HIN589828 GYQ589693:GYR589828 GOU589693:GOV589828 GEY589693:GEZ589828 FVC589693:FVD589828 FLG589693:FLH589828 FBK589693:FBL589828 ERO589693:ERP589828 EHS589693:EHT589828 DXW589693:DXX589828 DOA589693:DOB589828 DEE589693:DEF589828 CUI589693:CUJ589828 CKM589693:CKN589828 CAQ589693:CAR589828 BQU589693:BQV589828 BGY589693:BGZ589828 AXC589693:AXD589828 ANG589693:ANH589828 ADK589693:ADL589828 TO589693:TP589828 JS589693:JT589828 AD589693:AE589828 WWE524157:WWF524292 WMI524157:WMJ524292 WCM524157:WCN524292 VSQ524157:VSR524292 VIU524157:VIV524292 UYY524157:UYZ524292 UPC524157:UPD524292 UFG524157:UFH524292 TVK524157:TVL524292 TLO524157:TLP524292 TBS524157:TBT524292 SRW524157:SRX524292 SIA524157:SIB524292 RYE524157:RYF524292 ROI524157:ROJ524292 REM524157:REN524292 QUQ524157:QUR524292 QKU524157:QKV524292 QAY524157:QAZ524292 PRC524157:PRD524292 PHG524157:PHH524292 OXK524157:OXL524292 ONO524157:ONP524292 ODS524157:ODT524292 NTW524157:NTX524292 NKA524157:NKB524292 NAE524157:NAF524292 MQI524157:MQJ524292 MGM524157:MGN524292 LWQ524157:LWR524292 LMU524157:LMV524292 LCY524157:LCZ524292 KTC524157:KTD524292 KJG524157:KJH524292 JZK524157:JZL524292 JPO524157:JPP524292 JFS524157:JFT524292 IVW524157:IVX524292 IMA524157:IMB524292 ICE524157:ICF524292 HSI524157:HSJ524292 HIM524157:HIN524292 GYQ524157:GYR524292 GOU524157:GOV524292 GEY524157:GEZ524292 FVC524157:FVD524292 FLG524157:FLH524292 FBK524157:FBL524292 ERO524157:ERP524292 EHS524157:EHT524292 DXW524157:DXX524292 DOA524157:DOB524292 DEE524157:DEF524292 CUI524157:CUJ524292 CKM524157:CKN524292 CAQ524157:CAR524292 BQU524157:BQV524292 BGY524157:BGZ524292 AXC524157:AXD524292 ANG524157:ANH524292 ADK524157:ADL524292 TO524157:TP524292 JS524157:JT524292 AD524157:AE524292 WWE458621:WWF458756 WMI458621:WMJ458756 WCM458621:WCN458756 VSQ458621:VSR458756 VIU458621:VIV458756 UYY458621:UYZ458756 UPC458621:UPD458756 UFG458621:UFH458756 TVK458621:TVL458756 TLO458621:TLP458756 TBS458621:TBT458756 SRW458621:SRX458756 SIA458621:SIB458756 RYE458621:RYF458756 ROI458621:ROJ458756 REM458621:REN458756 QUQ458621:QUR458756 QKU458621:QKV458756 QAY458621:QAZ458756 PRC458621:PRD458756 PHG458621:PHH458756 OXK458621:OXL458756 ONO458621:ONP458756 ODS458621:ODT458756 NTW458621:NTX458756 NKA458621:NKB458756 NAE458621:NAF458756 MQI458621:MQJ458756 MGM458621:MGN458756 LWQ458621:LWR458756 LMU458621:LMV458756 LCY458621:LCZ458756 KTC458621:KTD458756 KJG458621:KJH458756 JZK458621:JZL458756 JPO458621:JPP458756 JFS458621:JFT458756 IVW458621:IVX458756 IMA458621:IMB458756 ICE458621:ICF458756 HSI458621:HSJ458756 HIM458621:HIN458756 GYQ458621:GYR458756 GOU458621:GOV458756 GEY458621:GEZ458756 FVC458621:FVD458756 FLG458621:FLH458756 FBK458621:FBL458756 ERO458621:ERP458756 EHS458621:EHT458756 DXW458621:DXX458756 DOA458621:DOB458756 DEE458621:DEF458756 CUI458621:CUJ458756 CKM458621:CKN458756 CAQ458621:CAR458756 BQU458621:BQV458756 BGY458621:BGZ458756 AXC458621:AXD458756 ANG458621:ANH458756 ADK458621:ADL458756 TO458621:TP458756 JS458621:JT458756 AD458621:AE458756 WWE393085:WWF393220 WMI393085:WMJ393220 WCM393085:WCN393220 VSQ393085:VSR393220 VIU393085:VIV393220 UYY393085:UYZ393220 UPC393085:UPD393220 UFG393085:UFH393220 TVK393085:TVL393220 TLO393085:TLP393220 TBS393085:TBT393220 SRW393085:SRX393220 SIA393085:SIB393220 RYE393085:RYF393220 ROI393085:ROJ393220 REM393085:REN393220 QUQ393085:QUR393220 QKU393085:QKV393220 QAY393085:QAZ393220 PRC393085:PRD393220 PHG393085:PHH393220 OXK393085:OXL393220 ONO393085:ONP393220 ODS393085:ODT393220 NTW393085:NTX393220 NKA393085:NKB393220 NAE393085:NAF393220 MQI393085:MQJ393220 MGM393085:MGN393220 LWQ393085:LWR393220 LMU393085:LMV393220 LCY393085:LCZ393220 KTC393085:KTD393220 KJG393085:KJH393220 JZK393085:JZL393220 JPO393085:JPP393220 JFS393085:JFT393220 IVW393085:IVX393220 IMA393085:IMB393220 ICE393085:ICF393220 HSI393085:HSJ393220 HIM393085:HIN393220 GYQ393085:GYR393220 GOU393085:GOV393220 GEY393085:GEZ393220 FVC393085:FVD393220 FLG393085:FLH393220 FBK393085:FBL393220 ERO393085:ERP393220 EHS393085:EHT393220 DXW393085:DXX393220 DOA393085:DOB393220 DEE393085:DEF393220 CUI393085:CUJ393220 CKM393085:CKN393220 CAQ393085:CAR393220 BQU393085:BQV393220 BGY393085:BGZ393220 AXC393085:AXD393220 ANG393085:ANH393220 ADK393085:ADL393220 TO393085:TP393220 JS393085:JT393220 AD393085:AE393220 WWE327549:WWF327684 WMI327549:WMJ327684 WCM327549:WCN327684 VSQ327549:VSR327684 VIU327549:VIV327684 UYY327549:UYZ327684 UPC327549:UPD327684 UFG327549:UFH327684 TVK327549:TVL327684 TLO327549:TLP327684 TBS327549:TBT327684 SRW327549:SRX327684 SIA327549:SIB327684 RYE327549:RYF327684 ROI327549:ROJ327684 REM327549:REN327684 QUQ327549:QUR327684 QKU327549:QKV327684 QAY327549:QAZ327684 PRC327549:PRD327684 PHG327549:PHH327684 OXK327549:OXL327684 ONO327549:ONP327684 ODS327549:ODT327684 NTW327549:NTX327684 NKA327549:NKB327684 NAE327549:NAF327684 MQI327549:MQJ327684 MGM327549:MGN327684 LWQ327549:LWR327684 LMU327549:LMV327684 LCY327549:LCZ327684 KTC327549:KTD327684 KJG327549:KJH327684 JZK327549:JZL327684 JPO327549:JPP327684 JFS327549:JFT327684 IVW327549:IVX327684 IMA327549:IMB327684 ICE327549:ICF327684 HSI327549:HSJ327684 HIM327549:HIN327684 GYQ327549:GYR327684 GOU327549:GOV327684 GEY327549:GEZ327684 FVC327549:FVD327684 FLG327549:FLH327684 FBK327549:FBL327684 ERO327549:ERP327684 EHS327549:EHT327684 DXW327549:DXX327684 DOA327549:DOB327684 DEE327549:DEF327684 CUI327549:CUJ327684 CKM327549:CKN327684 CAQ327549:CAR327684 BQU327549:BQV327684 BGY327549:BGZ327684 AXC327549:AXD327684 ANG327549:ANH327684 ADK327549:ADL327684 TO327549:TP327684 JS327549:JT327684 AD327549:AE327684 WWE262013:WWF262148 WMI262013:WMJ262148 WCM262013:WCN262148 VSQ262013:VSR262148 VIU262013:VIV262148 UYY262013:UYZ262148 UPC262013:UPD262148 UFG262013:UFH262148 TVK262013:TVL262148 TLO262013:TLP262148 TBS262013:TBT262148 SRW262013:SRX262148 SIA262013:SIB262148 RYE262013:RYF262148 ROI262013:ROJ262148 REM262013:REN262148 QUQ262013:QUR262148 QKU262013:QKV262148 QAY262013:QAZ262148 PRC262013:PRD262148 PHG262013:PHH262148 OXK262013:OXL262148 ONO262013:ONP262148 ODS262013:ODT262148 NTW262013:NTX262148 NKA262013:NKB262148 NAE262013:NAF262148 MQI262013:MQJ262148 MGM262013:MGN262148 LWQ262013:LWR262148 LMU262013:LMV262148 LCY262013:LCZ262148 KTC262013:KTD262148 KJG262013:KJH262148 JZK262013:JZL262148 JPO262013:JPP262148 JFS262013:JFT262148 IVW262013:IVX262148 IMA262013:IMB262148 ICE262013:ICF262148 HSI262013:HSJ262148 HIM262013:HIN262148 GYQ262013:GYR262148 GOU262013:GOV262148 GEY262013:GEZ262148 FVC262013:FVD262148 FLG262013:FLH262148 FBK262013:FBL262148 ERO262013:ERP262148 EHS262013:EHT262148 DXW262013:DXX262148 DOA262013:DOB262148 DEE262013:DEF262148 CUI262013:CUJ262148 CKM262013:CKN262148 CAQ262013:CAR262148 BQU262013:BQV262148 BGY262013:BGZ262148 AXC262013:AXD262148 ANG262013:ANH262148 ADK262013:ADL262148 TO262013:TP262148 JS262013:JT262148 AD262013:AE262148 WWE196477:WWF196612 WMI196477:WMJ196612 WCM196477:WCN196612 VSQ196477:VSR196612 VIU196477:VIV196612 UYY196477:UYZ196612 UPC196477:UPD196612 UFG196477:UFH196612 TVK196477:TVL196612 TLO196477:TLP196612 TBS196477:TBT196612 SRW196477:SRX196612 SIA196477:SIB196612 RYE196477:RYF196612 ROI196477:ROJ196612 REM196477:REN196612 QUQ196477:QUR196612 QKU196477:QKV196612 QAY196477:QAZ196612 PRC196477:PRD196612 PHG196477:PHH196612 OXK196477:OXL196612 ONO196477:ONP196612 ODS196477:ODT196612 NTW196477:NTX196612 NKA196477:NKB196612 NAE196477:NAF196612 MQI196477:MQJ196612 MGM196477:MGN196612 LWQ196477:LWR196612 LMU196477:LMV196612 LCY196477:LCZ196612 KTC196477:KTD196612 KJG196477:KJH196612 JZK196477:JZL196612 JPO196477:JPP196612 JFS196477:JFT196612 IVW196477:IVX196612 IMA196477:IMB196612 ICE196477:ICF196612 HSI196477:HSJ196612 HIM196477:HIN196612 GYQ196477:GYR196612 GOU196477:GOV196612 GEY196477:GEZ196612 FVC196477:FVD196612 FLG196477:FLH196612 FBK196477:FBL196612 ERO196477:ERP196612 EHS196477:EHT196612 DXW196477:DXX196612 DOA196477:DOB196612 DEE196477:DEF196612 CUI196477:CUJ196612 CKM196477:CKN196612 CAQ196477:CAR196612 BQU196477:BQV196612 BGY196477:BGZ196612 AXC196477:AXD196612 ANG196477:ANH196612 ADK196477:ADL196612 TO196477:TP196612 JS196477:JT196612 AD196477:AE196612 WWE130941:WWF131076 WMI130941:WMJ131076 WCM130941:WCN131076 VSQ130941:VSR131076 VIU130941:VIV131076 UYY130941:UYZ131076 UPC130941:UPD131076 UFG130941:UFH131076 TVK130941:TVL131076 TLO130941:TLP131076 TBS130941:TBT131076 SRW130941:SRX131076 SIA130941:SIB131076 RYE130941:RYF131076 ROI130941:ROJ131076 REM130941:REN131076 QUQ130941:QUR131076 QKU130941:QKV131076 QAY130941:QAZ131076 PRC130941:PRD131076 PHG130941:PHH131076 OXK130941:OXL131076 ONO130941:ONP131076 ODS130941:ODT131076 NTW130941:NTX131076 NKA130941:NKB131076 NAE130941:NAF131076 MQI130941:MQJ131076 MGM130941:MGN131076 LWQ130941:LWR131076 LMU130941:LMV131076 LCY130941:LCZ131076 KTC130941:KTD131076 KJG130941:KJH131076 JZK130941:JZL131076 JPO130941:JPP131076 JFS130941:JFT131076 IVW130941:IVX131076 IMA130941:IMB131076 ICE130941:ICF131076 HSI130941:HSJ131076 HIM130941:HIN131076 GYQ130941:GYR131076 GOU130941:GOV131076 GEY130941:GEZ131076 FVC130941:FVD131076 FLG130941:FLH131076 FBK130941:FBL131076 ERO130941:ERP131076 EHS130941:EHT131076 DXW130941:DXX131076 DOA130941:DOB131076 DEE130941:DEF131076 CUI130941:CUJ131076 CKM130941:CKN131076 CAQ130941:CAR131076 BQU130941:BQV131076 BGY130941:BGZ131076 AXC130941:AXD131076 ANG130941:ANH131076 ADK130941:ADL131076 TO130941:TP131076 JS130941:JT131076 AD130941:AE131076 WWE65405:WWF65540 WMI65405:WMJ65540 WCM65405:WCN65540 VSQ65405:VSR65540 VIU65405:VIV65540 UYY65405:UYZ65540 UPC65405:UPD65540 UFG65405:UFH65540 TVK65405:TVL65540 TLO65405:TLP65540 TBS65405:TBT65540 SRW65405:SRX65540 SIA65405:SIB65540 RYE65405:RYF65540 ROI65405:ROJ65540 REM65405:REN65540 QUQ65405:QUR65540 QKU65405:QKV65540 QAY65405:QAZ65540 PRC65405:PRD65540 PHG65405:PHH65540 OXK65405:OXL65540 ONO65405:ONP65540 ODS65405:ODT65540 NTW65405:NTX65540 NKA65405:NKB65540 NAE65405:NAF65540 MQI65405:MQJ65540 MGM65405:MGN65540 LWQ65405:LWR65540 LMU65405:LMV65540 LCY65405:LCZ65540 KTC65405:KTD65540 KJG65405:KJH65540 JZK65405:JZL65540 JPO65405:JPP65540 JFS65405:JFT65540 IVW65405:IVX65540 IMA65405:IMB65540 ICE65405:ICF65540 HSI65405:HSJ65540 HIM65405:HIN65540 GYQ65405:GYR65540 GOU65405:GOV65540 GEY65405:GEZ65540 FVC65405:FVD65540 FLG65405:FLH65540 FBK65405:FBL65540 ERO65405:ERP65540 EHS65405:EHT65540 DXW65405:DXX65540 DOA65405:DOB65540 DEE65405:DEF65540 CUI65405:CUJ65540 CKM65405:CKN65540 CAQ65405:CAR65540 BQU65405:BQV65540 BGY65405:BGZ65540 AXC65405:AXD65540 ANG65405:ANH65540 ADK65405:ADL65540 TO65405:TP65540 JS65405:JT65540 AD65405:AE65540 WWE982907 WMI982907 WCM982907 VSQ982907 VIU982907 UYY982907 UPC982907 UFG982907 TVK982907 TLO982907 TBS982907 SRW982907 SIA982907 RYE982907 ROI982907 REM982907 QUQ982907 QKU982907 QAY982907 PRC982907 PHG982907 OXK982907 ONO982907 ODS982907 NTW982907 NKA982907 NAE982907 MQI982907 MGM982907 LWQ982907 LMU982907 LCY982907 KTC982907 KJG982907 JZK982907 JPO982907 JFS982907 IVW982907 IMA982907 ICE982907 HSI982907 HIM982907 GYQ982907 GOU982907 GEY982907 FVC982907 FLG982907 FBK982907 ERO982907 EHS982907 DXW982907 DOA982907 DEE982907 CUI982907 CKM982907 CAQ982907 BQU982907 BGY982907 AXC982907 ANG982907 ADK982907 TO982907 JS982907 AD982907:AE982907 WWE917371 WMI917371 WCM917371 VSQ917371 VIU917371 UYY917371 UPC917371 UFG917371 TVK917371 TLO917371 TBS917371 SRW917371 SIA917371 RYE917371 ROI917371 REM917371 QUQ917371 QKU917371 QAY917371 PRC917371 PHG917371 OXK917371 ONO917371 ODS917371 NTW917371 NKA917371 NAE917371 MQI917371 MGM917371 LWQ917371 LMU917371 LCY917371 KTC917371 KJG917371 JZK917371 JPO917371 JFS917371 IVW917371 IMA917371 ICE917371 HSI917371 HIM917371 GYQ917371 GOU917371 GEY917371 FVC917371 FLG917371 FBK917371 ERO917371 EHS917371 DXW917371 DOA917371 DEE917371 CUI917371 CKM917371 CAQ917371 BQU917371 BGY917371 AXC917371 ANG917371 ADK917371 TO917371 JS917371 AD917371:AE917371 WWE851835 WMI851835 WCM851835 VSQ851835 VIU851835 UYY851835 UPC851835 UFG851835 TVK851835 TLO851835 TBS851835 SRW851835 SIA851835 RYE851835 ROI851835 REM851835 QUQ851835 QKU851835 QAY851835 PRC851835 PHG851835 OXK851835 ONO851835 ODS851835 NTW851835 NKA851835 NAE851835 MQI851835 MGM851835 LWQ851835 LMU851835 LCY851835 KTC851835 KJG851835 JZK851835 JPO851835 JFS851835 IVW851835 IMA851835 ICE851835 HSI851835 HIM851835 GYQ851835 GOU851835 GEY851835 FVC851835 FLG851835 FBK851835 ERO851835 EHS851835 DXW851835 DOA851835 DEE851835 CUI851835 CKM851835 CAQ851835 BQU851835 BGY851835 AXC851835 ANG851835 ADK851835 TO851835 JS851835 AD851835:AE851835 WWE786299 WMI786299 WCM786299 VSQ786299 VIU786299 UYY786299 UPC786299 UFG786299 TVK786299 TLO786299 TBS786299 SRW786299 SIA786299 RYE786299 ROI786299 REM786299 QUQ786299 QKU786299 QAY786299 PRC786299 PHG786299 OXK786299 ONO786299 ODS786299 NTW786299 NKA786299 NAE786299 MQI786299 MGM786299 LWQ786299 LMU786299 LCY786299 KTC786299 KJG786299 JZK786299 JPO786299 JFS786299 IVW786299 IMA786299 ICE786299 HSI786299 HIM786299 GYQ786299 GOU786299 GEY786299 FVC786299 FLG786299 FBK786299 ERO786299 EHS786299 DXW786299 DOA786299 DEE786299 CUI786299 CKM786299 CAQ786299 BQU786299 BGY786299 AXC786299 ANG786299 ADK786299 TO786299 JS786299 AD786299:AE786299 WWE720763 WMI720763 WCM720763 VSQ720763 VIU720763 UYY720763 UPC720763 UFG720763 TVK720763 TLO720763 TBS720763 SRW720763 SIA720763 RYE720763 ROI720763 REM720763 QUQ720763 QKU720763 QAY720763 PRC720763 PHG720763 OXK720763 ONO720763 ODS720763 NTW720763 NKA720763 NAE720763 MQI720763 MGM720763 LWQ720763 LMU720763 LCY720763 KTC720763 KJG720763 JZK720763 JPO720763 JFS720763 IVW720763 IMA720763 ICE720763 HSI720763 HIM720763 GYQ720763 GOU720763 GEY720763 FVC720763 FLG720763 FBK720763 ERO720763 EHS720763 DXW720763 DOA720763 DEE720763 CUI720763 CKM720763 CAQ720763 BQU720763 BGY720763 AXC720763 ANG720763 ADK720763 TO720763 JS720763 AD720763:AE720763 WWE655227 WMI655227 WCM655227 VSQ655227 VIU655227 UYY655227 UPC655227 UFG655227 TVK655227 TLO655227 TBS655227 SRW655227 SIA655227 RYE655227 ROI655227 REM655227 QUQ655227 QKU655227 QAY655227 PRC655227 PHG655227 OXK655227 ONO655227 ODS655227 NTW655227 NKA655227 NAE655227 MQI655227 MGM655227 LWQ655227 LMU655227 LCY655227 KTC655227 KJG655227 JZK655227 JPO655227 JFS655227 IVW655227 IMA655227 ICE655227 HSI655227 HIM655227 GYQ655227 GOU655227 GEY655227 FVC655227 FLG655227 FBK655227 ERO655227 EHS655227 DXW655227 DOA655227 DEE655227 CUI655227 CKM655227 CAQ655227 BQU655227 BGY655227 AXC655227 ANG655227 ADK655227 TO655227 JS655227 AD655227:AE655227 WWE589691 WMI589691 WCM589691 VSQ589691 VIU589691 UYY589691 UPC589691 UFG589691 TVK589691 TLO589691 TBS589691 SRW589691 SIA589691 RYE589691 ROI589691 REM589691 QUQ589691 QKU589691 QAY589691 PRC589691 PHG589691 OXK589691 ONO589691 ODS589691 NTW589691 NKA589691 NAE589691 MQI589691 MGM589691 LWQ589691 LMU589691 LCY589691 KTC589691 KJG589691 JZK589691 JPO589691 JFS589691 IVW589691 IMA589691 ICE589691 HSI589691 HIM589691 GYQ589691 GOU589691 GEY589691 FVC589691 FLG589691 FBK589691 ERO589691 EHS589691 DXW589691 DOA589691 DEE589691 CUI589691 CKM589691 CAQ589691 BQU589691 BGY589691 AXC589691 ANG589691 ADK589691 TO589691 JS589691 AD589691:AE589691 WWE524155 WMI524155 WCM524155 VSQ524155 VIU524155 UYY524155 UPC524155 UFG524155 TVK524155 TLO524155 TBS524155 SRW524155 SIA524155 RYE524155 ROI524155 REM524155 QUQ524155 QKU524155 QAY524155 PRC524155 PHG524155 OXK524155 ONO524155 ODS524155 NTW524155 NKA524155 NAE524155 MQI524155 MGM524155 LWQ524155 LMU524155 LCY524155 KTC524155 KJG524155 JZK524155 JPO524155 JFS524155 IVW524155 IMA524155 ICE524155 HSI524155 HIM524155 GYQ524155 GOU524155 GEY524155 FVC524155 FLG524155 FBK524155 ERO524155 EHS524155 DXW524155 DOA524155 DEE524155 CUI524155 CKM524155 CAQ524155 BQU524155 BGY524155 AXC524155 ANG524155 ADK524155 TO524155 JS524155 AD524155:AE524155 WWE458619 WMI458619 WCM458619 VSQ458619 VIU458619 UYY458619 UPC458619 UFG458619 TVK458619 TLO458619 TBS458619 SRW458619 SIA458619 RYE458619 ROI458619 REM458619 QUQ458619 QKU458619 QAY458619 PRC458619 PHG458619 OXK458619 ONO458619 ODS458619 NTW458619 NKA458619 NAE458619 MQI458619 MGM458619 LWQ458619 LMU458619 LCY458619 KTC458619 KJG458619 JZK458619 JPO458619 JFS458619 IVW458619 IMA458619 ICE458619 HSI458619 HIM458619 GYQ458619 GOU458619 GEY458619 FVC458619 FLG458619 FBK458619 ERO458619 EHS458619 DXW458619 DOA458619 DEE458619 CUI458619 CKM458619 CAQ458619 BQU458619 BGY458619 AXC458619 ANG458619 ADK458619 TO458619 JS458619 AD458619:AE458619 WWE393083 WMI393083 WCM393083 VSQ393083 VIU393083 UYY393083 UPC393083 UFG393083 TVK393083 TLO393083 TBS393083 SRW393083 SIA393083 RYE393083 ROI393083 REM393083 QUQ393083 QKU393083 QAY393083 PRC393083 PHG393083 OXK393083 ONO393083 ODS393083 NTW393083 NKA393083 NAE393083 MQI393083 MGM393083 LWQ393083 LMU393083 LCY393083 KTC393083 KJG393083 JZK393083 JPO393083 JFS393083 IVW393083 IMA393083 ICE393083 HSI393083 HIM393083 GYQ393083 GOU393083 GEY393083 FVC393083 FLG393083 FBK393083 ERO393083 EHS393083 DXW393083 DOA393083 DEE393083 CUI393083 CKM393083 CAQ393083 BQU393083 BGY393083 AXC393083 ANG393083 ADK393083 TO393083 JS393083 AD393083:AE393083 WWE327547 WMI327547 WCM327547 VSQ327547 VIU327547 UYY327547 UPC327547 UFG327547 TVK327547 TLO327547 TBS327547 SRW327547 SIA327547 RYE327547 ROI327547 REM327547 QUQ327547 QKU327547 QAY327547 PRC327547 PHG327547 OXK327547 ONO327547 ODS327547 NTW327547 NKA327547 NAE327547 MQI327547 MGM327547 LWQ327547 LMU327547 LCY327547 KTC327547 KJG327547 JZK327547 JPO327547 JFS327547 IVW327547 IMA327547 ICE327547 HSI327547 HIM327547 GYQ327547 GOU327547 GEY327547 FVC327547 FLG327547 FBK327547 ERO327547 EHS327547 DXW327547 DOA327547 DEE327547 CUI327547 CKM327547 CAQ327547 BQU327547 BGY327547 AXC327547 ANG327547 ADK327547 TO327547 JS327547 AD327547:AE327547 WWE262011 WMI262011 WCM262011 VSQ262011 VIU262011 UYY262011 UPC262011 UFG262011 TVK262011 TLO262011 TBS262011 SRW262011 SIA262011 RYE262011 ROI262011 REM262011 QUQ262011 QKU262011 QAY262011 PRC262011 PHG262011 OXK262011 ONO262011 ODS262011 NTW262011 NKA262011 NAE262011 MQI262011 MGM262011 LWQ262011 LMU262011 LCY262011 KTC262011 KJG262011 JZK262011 JPO262011 JFS262011 IVW262011 IMA262011 ICE262011 HSI262011 HIM262011 GYQ262011 GOU262011 GEY262011 FVC262011 FLG262011 FBK262011 ERO262011 EHS262011 DXW262011 DOA262011 DEE262011 CUI262011 CKM262011 CAQ262011 BQU262011 BGY262011 AXC262011 ANG262011 ADK262011 TO262011 JS262011 AD262011:AE262011 WWE196475 WMI196475 WCM196475 VSQ196475 VIU196475 UYY196475 UPC196475 UFG196475 TVK196475 TLO196475 TBS196475 SRW196475 SIA196475 RYE196475 ROI196475 REM196475 QUQ196475 QKU196475 QAY196475 PRC196475 PHG196475 OXK196475 ONO196475 ODS196475 NTW196475 NKA196475 NAE196475 MQI196475 MGM196475 LWQ196475 LMU196475 LCY196475 KTC196475 KJG196475 JZK196475 JPO196475 JFS196475 IVW196475 IMA196475 ICE196475 HSI196475 HIM196475 GYQ196475 GOU196475 GEY196475 FVC196475 FLG196475 FBK196475 ERO196475 EHS196475 DXW196475 DOA196475 DEE196475 CUI196475 CKM196475 CAQ196475 BQU196475 BGY196475 AXC196475 ANG196475 ADK196475 TO196475 JS196475 AD196475:AE196475 WWE130939 WMI130939 WCM130939 VSQ130939 VIU130939 UYY130939 UPC130939 UFG130939 TVK130939 TLO130939 TBS130939 SRW130939 SIA130939 RYE130939 ROI130939 REM130939 QUQ130939 QKU130939 QAY130939 PRC130939 PHG130939 OXK130939 ONO130939 ODS130939 NTW130939 NKA130939 NAE130939 MQI130939 MGM130939 LWQ130939 LMU130939 LCY130939 KTC130939 KJG130939 JZK130939 JPO130939 JFS130939 IVW130939 IMA130939 ICE130939 HSI130939 HIM130939 GYQ130939 GOU130939 GEY130939 FVC130939 FLG130939 FBK130939 ERO130939 EHS130939 DXW130939 DOA130939 DEE130939 CUI130939 CKM130939 CAQ130939 BQU130939 BGY130939 AXC130939 ANG130939 ADK130939 TO130939 JS130939 AD130939:AE130939 WWE65403 WMI65403 WCM65403 VSQ65403 VIU65403 UYY65403 UPC65403 UFG65403 TVK65403 TLO65403 TBS65403 SRW65403 SIA65403 RYE65403 ROI65403 REM65403 QUQ65403 QKU65403 QAY65403 PRC65403 PHG65403 OXK65403 ONO65403 ODS65403 NTW65403 NKA65403 NAE65403 MQI65403 MGM65403 LWQ65403 LMU65403 LCY65403 KTC65403 KJG65403 JZK65403 JPO65403 JFS65403 IVW65403 IMA65403 ICE65403 HSI65403 HIM65403 GYQ65403 GOU65403 GEY65403 FVC65403 FLG65403 FBK65403 ERO65403 EHS65403 DXW65403 DOA65403 DEE65403 CUI65403 CKM65403 CAQ65403 BQU65403 BGY65403 AXC65403 ANG65403 ADK65403 TO65403 JS65403 WWE6:WWF7 WMI6:WMJ7 WCM6:WCN7 VSQ6:VSR7 VIU6:VIV7 UYY6:UYZ7 UPC6:UPD7 UFG6:UFH7 TVK6:TVL7 TLO6:TLP7 TBS6:TBT7 SRW6:SRX7 SIA6:SIB7 RYE6:RYF7 ROI6:ROJ7 REM6:REN7 QUQ6:QUR7 QKU6:QKV7 QAY6:QAZ7 PRC6:PRD7 PHG6:PHH7 OXK6:OXL7 ONO6:ONP7 ODS6:ODT7 NTW6:NTX7 NKA6:NKB7 NAE6:NAF7 MQI6:MQJ7 MGM6:MGN7 LWQ6:LWR7 LMU6:LMV7 LCY6:LCZ7 KTC6:KTD7 KJG6:KJH7 JZK6:JZL7 JPO6:JPP7 JFS6:JFT7 IVW6:IVX7 IMA6:IMB7 ICE6:ICF7 HSI6:HSJ7 HIM6:HIN7 GYQ6:GYR7 GOU6:GOV7 GEY6:GEZ7 FVC6:FVD7 FLG6:FLH7 FBK6:FBL7 ERO6:ERP7 EHS6:EHT7 DXW6:DXX7 DOA6:DOB7 DEE6:DEF7 CUI6:CUJ7 CKM6:CKN7 CAQ6:CAR7 BQU6:BQV7 BGY6:BGZ7 AXC6:AXD7 ANG6:ANH7 ADK6:ADL7 TO6:TP7 JS6:JT7">
      <formula1>$AO$7:$AO$7</formula1>
    </dataValidation>
    <dataValidation type="list" allowBlank="1" showInputMessage="1" showErrorMessage="1" prompt="Please select from the list" sqref="VSU982909:VSX982920 AF65403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AF130939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AF196475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AF262011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AF327547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AF393083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AF458619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AF524155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AF589691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AF655227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AF720763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AF786299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AF851835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AF917371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AF982907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W6:JZ7 TS6:TV7 ADO6:ADR7 ANK6:ANN7 AXG6:AXJ7 BHC6:BHF7 BQY6:BRB7 CAU6:CAX7 CKQ6:CKT7 CUM6:CUP7 DEI6:DEL7 DOE6:DOH7 DYA6:DYD7 EHW6:EHZ7 ERS6:ERV7 FBO6:FBR7 FLK6:FLN7 FVG6:FVJ7 GFC6:GFF7 GOY6:GPB7 GYU6:GYX7 HIQ6:HIT7 HSM6:HSP7 ICI6:ICL7 IME6:IMH7 IWA6:IWD7 JFW6:JFZ7 JPS6:JPV7 JZO6:JZR7 KJK6:KJN7 KTG6:KTJ7 LDC6:LDF7 LMY6:LNB7 LWU6:LWX7 MGQ6:MGT7 MQM6:MQP7 NAI6:NAL7 NKE6:NKH7 NUA6:NUD7 ODW6:ODZ7 ONS6:ONV7 OXO6:OXR7 PHK6:PHN7 PRG6:PRJ7 QBC6:QBF7 QKY6:QLB7 QUU6:QUX7 REQ6:RET7 ROM6:ROP7 RYI6:RYL7 SIE6:SIH7 SSA6:SSD7 TBW6:TBZ7 TLS6:TLV7 TVO6:TVR7 UFK6:UFN7 UPG6:UPJ7 UZC6:UZF7 VIY6:VJB7 VSU6:VSX7 WCQ6:WCT7 WMM6:WMP7 WWI6:WWL7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formula1>#REF!</formula1>
    </dataValidation>
    <dataValidation type="list" allowBlank="1" showInputMessage="1" showErrorMessage="1" prompt="Please select from the list" sqref="V6:V7">
      <formula1>LIST_CNon</formula1>
    </dataValidation>
    <dataValidation type="list" allowBlank="1" showInputMessage="1" showErrorMessage="1" sqref="W6:W7">
      <formula1>List_MVol</formula1>
    </dataValidation>
    <dataValidation type="list" allowBlank="1" showErrorMessage="1" prompt="Please select from the dropdown list" sqref="AD6:AE7">
      <formula1>LIST_PPrv</formula1>
    </dataValidation>
    <dataValidation type="list" allowBlank="1" showErrorMessage="1" prompt="Please select from the dropdown list" sqref="AF6:AF7">
      <formula1>LIST_TPro</formula1>
    </dataValidation>
    <dataValidation type="list" allowBlank="1" showInputMessage="1" showErrorMessage="1" prompt="Please select from the list" sqref="E6:U7">
      <formula1>LIST_X</formula1>
    </dataValidation>
    <dataValidation type="list" allowBlank="1" showInputMessage="1" showErrorMessage="1" prompt="Sélectionnez l'unité dans la liste déroulante" sqref="AG5:AI5">
      <formula1>LIST_Cuni</formula1>
    </dataValidation>
  </dataValidations>
  <hyperlinks>
    <hyperlink ref="E1:G1" r:id="rId3" display="Once filled, please return to: Valeria Nesterenko (socprodata@ilo.org) "/>
    <hyperlink ref="B8" location="'Info Pauvreté'!A1" display="Cliquez ici pour l'Info Pauvreté"/>
    <hyperlink ref="D2" r:id="rId4"/>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14:formula1>
            <xm:f>#REF!</xm:f>
          </x14:formula1>
          <xm:sqref>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WWD6:WWD7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xm:sqref>
        </x14:dataValidation>
        <x14:dataValidation type="list" allowBlank="1" showInputMessage="1" showErrorMessage="1" prompt="Please select from the list">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JA6:JN7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WVM6:WVZ7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X65425:Z65425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M8" sqref="M8"/>
    </sheetView>
  </sheetViews>
  <sheetFormatPr baseColWidth="10" defaultColWidth="0" defaultRowHeight="12.75"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CNSAP Régime de base</v>
      </c>
      <c r="C1" s="155" t="str">
        <f ca="1">IF(OFFSET('Inventaire des régimes'!C5,(_xlfn.SHEET()-2),0)=0,"Name of Scheme in English", OFFSET('Inventaire des régimes'!C5,(_xlfn.SHEET()-2),0))</f>
        <v xml:space="preserve">Branche des pensions </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ht="51" x14ac:dyDescent="0.25">
      <c r="A5" s="118" t="s">
        <v>256</v>
      </c>
      <c r="B5" s="163" t="s">
        <v>294</v>
      </c>
      <c r="C5" s="163" t="s">
        <v>294</v>
      </c>
      <c r="D5" s="165" t="s">
        <v>194</v>
      </c>
      <c r="E5" s="166" t="s">
        <v>274</v>
      </c>
      <c r="F5" s="165" t="s">
        <v>276</v>
      </c>
      <c r="G5" s="164" t="s">
        <v>278</v>
      </c>
      <c r="H5" s="164" t="s">
        <v>271</v>
      </c>
      <c r="I5" s="225">
        <v>198399</v>
      </c>
      <c r="J5" s="225">
        <v>138442.8222</v>
      </c>
      <c r="K5" s="225">
        <v>59956.177800000005</v>
      </c>
      <c r="L5" s="181">
        <v>1329</v>
      </c>
      <c r="M5" s="182">
        <v>1091</v>
      </c>
      <c r="N5" s="182">
        <v>238</v>
      </c>
      <c r="O5" s="167" t="s">
        <v>280</v>
      </c>
      <c r="P5" s="168" t="s">
        <v>281</v>
      </c>
      <c r="Q5" s="167"/>
      <c r="R5" s="207">
        <v>114581.7484</v>
      </c>
      <c r="S5" s="167"/>
      <c r="T5" s="169" t="s">
        <v>307</v>
      </c>
      <c r="U5" s="169"/>
      <c r="V5" s="169"/>
      <c r="W5" s="169">
        <v>65</v>
      </c>
      <c r="X5" s="169">
        <v>65</v>
      </c>
      <c r="Y5" s="169" t="s">
        <v>308</v>
      </c>
      <c r="Z5" s="178"/>
      <c r="AA5" s="164" t="s">
        <v>314</v>
      </c>
      <c r="AB5" s="119"/>
    </row>
    <row r="6" spans="1:28" s="84" customFormat="1" ht="38.25" x14ac:dyDescent="0.25">
      <c r="A6" s="118" t="s">
        <v>257</v>
      </c>
      <c r="B6" s="171" t="s">
        <v>295</v>
      </c>
      <c r="C6" s="171" t="s">
        <v>295</v>
      </c>
      <c r="D6" s="173" t="s">
        <v>273</v>
      </c>
      <c r="E6" s="174" t="s">
        <v>274</v>
      </c>
      <c r="F6" s="175" t="s">
        <v>277</v>
      </c>
      <c r="G6" s="172" t="s">
        <v>278</v>
      </c>
      <c r="H6" s="172" t="s">
        <v>271</v>
      </c>
      <c r="I6" s="226"/>
      <c r="J6" s="226"/>
      <c r="K6" s="226"/>
      <c r="L6" s="184">
        <v>184</v>
      </c>
      <c r="M6" s="184"/>
      <c r="N6" s="184"/>
      <c r="O6" s="168" t="s">
        <v>280</v>
      </c>
      <c r="P6" s="168" t="s">
        <v>281</v>
      </c>
      <c r="Q6" s="168"/>
      <c r="R6" s="208">
        <v>65536.673913043502</v>
      </c>
      <c r="S6" s="168"/>
      <c r="T6" s="176"/>
      <c r="U6" s="176"/>
      <c r="V6" s="176"/>
      <c r="W6" s="169"/>
      <c r="X6" s="169"/>
      <c r="Y6" s="176"/>
      <c r="Z6" s="179"/>
      <c r="AA6" s="172" t="s">
        <v>309</v>
      </c>
      <c r="AB6" s="119"/>
    </row>
    <row r="7" spans="1:28" s="84" customFormat="1" ht="38.25" x14ac:dyDescent="0.25">
      <c r="A7" s="118" t="s">
        <v>258</v>
      </c>
      <c r="B7" s="171" t="s">
        <v>296</v>
      </c>
      <c r="C7" s="171" t="s">
        <v>296</v>
      </c>
      <c r="D7" s="173" t="s">
        <v>273</v>
      </c>
      <c r="E7" s="174" t="s">
        <v>274</v>
      </c>
      <c r="F7" s="175" t="s">
        <v>199</v>
      </c>
      <c r="G7" s="172" t="s">
        <v>278</v>
      </c>
      <c r="H7" s="172" t="s">
        <v>271</v>
      </c>
      <c r="I7" s="227"/>
      <c r="J7" s="227"/>
      <c r="K7" s="227"/>
      <c r="L7" s="184">
        <v>187</v>
      </c>
      <c r="M7" s="184"/>
      <c r="N7" s="184"/>
      <c r="O7" s="168" t="s">
        <v>280</v>
      </c>
      <c r="P7" s="168" t="s">
        <v>281</v>
      </c>
      <c r="Q7" s="168"/>
      <c r="R7" s="208">
        <v>8052.2816399287003</v>
      </c>
      <c r="S7" s="168"/>
      <c r="T7" s="176"/>
      <c r="U7" s="176"/>
      <c r="V7" s="176"/>
      <c r="W7" s="169"/>
      <c r="X7" s="169"/>
      <c r="Y7" s="176"/>
      <c r="Z7" s="179"/>
      <c r="AA7" s="172" t="s">
        <v>310</v>
      </c>
      <c r="AB7" s="119"/>
    </row>
    <row r="8" spans="1:28" s="85" customFormat="1" x14ac:dyDescent="0.25">
      <c r="A8" s="92"/>
      <c r="B8" s="92"/>
      <c r="C8" s="92"/>
      <c r="D8" s="92"/>
      <c r="E8" s="92"/>
      <c r="F8" s="92"/>
      <c r="G8" s="92"/>
      <c r="H8" s="92"/>
      <c r="I8" s="92"/>
      <c r="J8" s="92"/>
      <c r="K8" s="92"/>
      <c r="L8" s="92"/>
      <c r="M8" s="92"/>
      <c r="N8" s="92"/>
      <c r="O8" s="92"/>
      <c r="P8" s="92"/>
      <c r="Q8" s="92"/>
      <c r="R8" s="92"/>
      <c r="S8" s="92"/>
      <c r="T8" s="92"/>
      <c r="U8" s="92"/>
      <c r="V8" s="92"/>
      <c r="W8" s="92"/>
      <c r="X8" s="92"/>
      <c r="Y8" s="92"/>
      <c r="Z8" s="92"/>
      <c r="AA8" s="92"/>
      <c r="AB8" s="92"/>
    </row>
    <row r="9" spans="1:28" ht="135" customHeight="1" x14ac:dyDescent="0.2">
      <c r="A9" s="107" t="s">
        <v>12</v>
      </c>
      <c r="B9" s="98" t="s">
        <v>306</v>
      </c>
      <c r="D9" s="107" t="s">
        <v>14</v>
      </c>
      <c r="E9" s="98" t="s">
        <v>305</v>
      </c>
      <c r="F9" s="86"/>
      <c r="G9" s="86"/>
      <c r="H9" s="86"/>
      <c r="I9" s="86"/>
      <c r="J9" s="86"/>
      <c r="K9" s="86"/>
      <c r="L9" s="86"/>
      <c r="M9" s="86"/>
      <c r="N9" s="86"/>
      <c r="O9" s="86"/>
      <c r="P9" s="86"/>
      <c r="Q9" s="86"/>
      <c r="R9" s="86"/>
      <c r="S9" s="86"/>
      <c r="T9" s="86"/>
      <c r="U9" s="86"/>
      <c r="V9" s="86"/>
      <c r="W9" s="86"/>
      <c r="X9" s="86"/>
      <c r="Y9" s="86"/>
      <c r="Z9" s="86"/>
      <c r="AA9" s="86"/>
      <c r="AB9" s="86"/>
    </row>
    <row r="10" spans="1:28" x14ac:dyDescent="0.2">
      <c r="A10" s="92"/>
      <c r="B10" s="92"/>
      <c r="C10" s="86"/>
      <c r="D10" s="86"/>
      <c r="E10" s="86"/>
      <c r="F10" s="86"/>
      <c r="G10" s="86"/>
      <c r="H10" s="86"/>
      <c r="I10" s="86"/>
      <c r="J10" s="86"/>
      <c r="K10" s="86"/>
      <c r="L10" s="86"/>
      <c r="M10" s="86"/>
      <c r="N10" s="86"/>
      <c r="O10" s="86"/>
      <c r="P10" s="86"/>
      <c r="Q10" s="86"/>
      <c r="R10" s="86"/>
      <c r="S10" s="86"/>
      <c r="T10" s="86"/>
      <c r="U10" s="86"/>
      <c r="V10" s="86"/>
      <c r="W10" s="86"/>
      <c r="X10" s="86"/>
      <c r="Y10" s="86"/>
      <c r="Z10" s="86"/>
      <c r="AA10" s="86"/>
      <c r="AB10" s="86"/>
    </row>
    <row r="11" spans="1:28" x14ac:dyDescent="0.2"/>
    <row r="12" spans="1:28" x14ac:dyDescent="0.2"/>
    <row r="13" spans="1:28" x14ac:dyDescent="0.2"/>
    <row r="14" spans="1:28" x14ac:dyDescent="0.2"/>
    <row r="15" spans="1:28" x14ac:dyDescent="0.2"/>
    <row r="16" spans="1:28" x14ac:dyDescent="0.2"/>
    <row r="17" x14ac:dyDescent="0.2"/>
    <row r="18" x14ac:dyDescent="0.2"/>
    <row r="19" x14ac:dyDescent="0.2"/>
    <row r="20" x14ac:dyDescent="0.2"/>
    <row r="21" x14ac:dyDescent="0.2"/>
    <row r="22" x14ac:dyDescent="0.2"/>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10">
    <mergeCell ref="I5:I7"/>
    <mergeCell ref="J5:J7"/>
    <mergeCell ref="K5:K7"/>
    <mergeCell ref="E3:G3"/>
    <mergeCell ref="T2:Y2"/>
    <mergeCell ref="I2:N2"/>
    <mergeCell ref="O2:S2"/>
    <mergeCell ref="I3:K3"/>
    <mergeCell ref="L3:N3"/>
    <mergeCell ref="W3:X3"/>
  </mergeCells>
  <conditionalFormatting sqref="P5:R7">
    <cfRule type="expression" dxfId="128" priority="17">
      <formula>$O5=#REF!</formula>
    </cfRule>
  </conditionalFormatting>
  <conditionalFormatting sqref="I5:K5 T5:T7">
    <cfRule type="expression" dxfId="127" priority="27">
      <formula>$H5=#REF!</formula>
    </cfRule>
  </conditionalFormatting>
  <conditionalFormatting sqref="U5:V7">
    <cfRule type="expression" dxfId="126" priority="29">
      <formula>$H5=#REF!</formula>
    </cfRule>
  </conditionalFormatting>
  <conditionalFormatting sqref="W5:X7">
    <cfRule type="expression" dxfId="125" priority="1">
      <formula>$H5=#REF!</formula>
    </cfRule>
  </conditionalFormatting>
  <dataValidations count="9">
    <dataValidation type="list" allowBlank="1" showInputMessage="1" showErrorMessage="1" sqref="D5:D7">
      <formula1>LIST_Func</formula1>
    </dataValidation>
    <dataValidation type="list" allowBlank="1" showInputMessage="1" showErrorMessage="1" sqref="F5:F7">
      <formula1>LIST_AgrGrp</formula1>
    </dataValidation>
    <dataValidation type="list" allowBlank="1" showInputMessage="1" showErrorMessage="1" sqref="G5:G7">
      <formula1>LIST_Area</formula1>
    </dataValidation>
    <dataValidation type="list" allowBlank="1" showInputMessage="1" showErrorMessage="1" sqref="H5:H7">
      <formula1>LIST_CNon</formula1>
    </dataValidation>
    <dataValidation type="list" allowBlank="1" showInputMessage="1" showErrorMessage="1" sqref="U5:U7">
      <formula1>LIST_Test</formula1>
    </dataValidation>
    <dataValidation type="list" allowBlank="1" showInputMessage="1" showErrorMessage="1" sqref="V5:V7">
      <formula1>LIST_Con</formula1>
    </dataValidation>
    <dataValidation type="list" allowBlank="1" showInputMessage="1" showErrorMessage="1" sqref="O5:O7">
      <formula1>LIST_CKnd</formula1>
    </dataValidation>
    <dataValidation type="list" allowBlank="1" showInputMessage="1" showErrorMessage="1" sqref="P5:P7">
      <formula1>LIST_Per</formula1>
    </dataValidation>
    <dataValidation type="list" allowBlank="1" showInputMessage="1" showErrorMessage="1" sqref="E5:E7">
      <formula1>#REF!</formula1>
    </dataValidation>
  </dataValidations>
  <hyperlinks>
    <hyperlink ref="A1" location="'Inventaire des régimes'!B1" display="RETOUR à l'Inventaire"/>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5" sqref="U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Reforme du transfert des assurés du sytème octroyé à la CNSSAP</v>
      </c>
      <c r="C1" s="155" t="str">
        <f ca="1">IF(OFFSET('Inventaire des régimes'!C5,(_xlfn.SHEET()-2),0)=0,"Name of Scheme in English", OFFSET('Inventaire des régimes'!C5,(_xlfn.SHEET()-2),0))</f>
        <v>Prestations de la Reforme du transfert des assurés du sytème octroyé à la CNSSAP</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ht="76.5" x14ac:dyDescent="0.25">
      <c r="A5" s="118" t="s">
        <v>256</v>
      </c>
      <c r="B5" s="173" t="s">
        <v>294</v>
      </c>
      <c r="C5" s="173" t="s">
        <v>294</v>
      </c>
      <c r="D5" s="165" t="s">
        <v>194</v>
      </c>
      <c r="E5" s="166" t="s">
        <v>275</v>
      </c>
      <c r="F5" s="165" t="s">
        <v>276</v>
      </c>
      <c r="G5" s="164" t="s">
        <v>278</v>
      </c>
      <c r="H5" s="164" t="s">
        <v>272</v>
      </c>
      <c r="I5" s="180"/>
      <c r="J5" s="180"/>
      <c r="K5" s="180"/>
      <c r="L5" s="181">
        <v>3653</v>
      </c>
      <c r="M5" s="182">
        <v>3268</v>
      </c>
      <c r="N5" s="182">
        <v>385</v>
      </c>
      <c r="O5" s="167" t="s">
        <v>280</v>
      </c>
      <c r="P5" s="168" t="s">
        <v>281</v>
      </c>
      <c r="Q5" s="213">
        <v>115660</v>
      </c>
      <c r="R5" s="212">
        <v>190905.90460000001</v>
      </c>
      <c r="S5" s="167"/>
      <c r="T5" s="169"/>
      <c r="U5" s="169"/>
      <c r="V5" s="169"/>
      <c r="W5" s="170"/>
      <c r="X5" s="170"/>
      <c r="Y5" s="169"/>
      <c r="Z5" s="178"/>
      <c r="AA5" s="209" t="s">
        <v>311</v>
      </c>
      <c r="AB5" s="119"/>
    </row>
    <row r="6" spans="1:28" s="84" customFormat="1" ht="76.5" x14ac:dyDescent="0.25">
      <c r="A6" s="118" t="s">
        <v>257</v>
      </c>
      <c r="B6" s="173" t="s">
        <v>295</v>
      </c>
      <c r="C6" s="173" t="s">
        <v>295</v>
      </c>
      <c r="D6" s="173" t="s">
        <v>273</v>
      </c>
      <c r="E6" s="174" t="s">
        <v>275</v>
      </c>
      <c r="F6" s="175" t="s">
        <v>277</v>
      </c>
      <c r="G6" s="172" t="s">
        <v>278</v>
      </c>
      <c r="H6" s="172" t="s">
        <v>272</v>
      </c>
      <c r="I6" s="183"/>
      <c r="J6" s="183"/>
      <c r="K6" s="183"/>
      <c r="L6" s="211">
        <v>6044</v>
      </c>
      <c r="M6" s="184"/>
      <c r="N6" s="184"/>
      <c r="O6" s="168" t="s">
        <v>280</v>
      </c>
      <c r="P6" s="168" t="s">
        <v>281</v>
      </c>
      <c r="Q6" s="168"/>
      <c r="R6" s="168"/>
      <c r="S6" s="168"/>
      <c r="T6" s="176"/>
      <c r="U6" s="176"/>
      <c r="V6" s="176"/>
      <c r="W6" s="177"/>
      <c r="X6" s="177"/>
      <c r="Y6" s="176"/>
      <c r="Z6" s="179"/>
      <c r="AA6" s="209" t="s">
        <v>311</v>
      </c>
      <c r="AB6" s="119"/>
    </row>
    <row r="7" spans="1:28" s="84" customFormat="1" ht="76.5" x14ac:dyDescent="0.25">
      <c r="A7" s="118" t="s">
        <v>258</v>
      </c>
      <c r="B7" s="173" t="s">
        <v>296</v>
      </c>
      <c r="C7" s="173" t="s">
        <v>296</v>
      </c>
      <c r="D7" s="173" t="s">
        <v>273</v>
      </c>
      <c r="E7" s="174" t="s">
        <v>275</v>
      </c>
      <c r="F7" s="175" t="s">
        <v>277</v>
      </c>
      <c r="G7" s="172" t="s">
        <v>278</v>
      </c>
      <c r="H7" s="172" t="s">
        <v>272</v>
      </c>
      <c r="I7" s="183"/>
      <c r="J7" s="183"/>
      <c r="K7" s="183"/>
      <c r="L7" s="210">
        <v>549</v>
      </c>
      <c r="M7" s="184"/>
      <c r="N7" s="184"/>
      <c r="O7" s="168" t="s">
        <v>280</v>
      </c>
      <c r="P7" s="168" t="s">
        <v>281</v>
      </c>
      <c r="Q7" s="168"/>
      <c r="R7" s="168"/>
      <c r="S7" s="168"/>
      <c r="T7" s="176"/>
      <c r="U7" s="176"/>
      <c r="V7" s="176"/>
      <c r="W7" s="177"/>
      <c r="X7" s="177"/>
      <c r="Y7" s="176"/>
      <c r="Z7" s="179"/>
      <c r="AA7" s="209" t="s">
        <v>311</v>
      </c>
      <c r="AB7" s="119"/>
    </row>
    <row r="8" spans="1:28" s="85" customFormat="1" x14ac:dyDescent="0.25">
      <c r="A8" s="92"/>
      <c r="B8" s="92"/>
      <c r="C8" s="92"/>
      <c r="D8" s="92"/>
      <c r="E8" s="92"/>
      <c r="F8" s="92"/>
      <c r="G8" s="92"/>
      <c r="H8" s="92"/>
      <c r="I8" s="92"/>
      <c r="J8" s="92"/>
      <c r="K8" s="92"/>
      <c r="L8" s="92"/>
      <c r="M8" s="92"/>
      <c r="N8" s="92"/>
      <c r="O8" s="92"/>
      <c r="P8" s="92"/>
      <c r="Q8" s="92"/>
      <c r="R8" s="92"/>
      <c r="S8" s="92"/>
      <c r="T8" s="92"/>
      <c r="U8" s="92"/>
      <c r="V8" s="92"/>
      <c r="W8" s="92"/>
      <c r="X8" s="92"/>
      <c r="Y8" s="92"/>
      <c r="Z8" s="92"/>
      <c r="AA8" s="92"/>
      <c r="AB8" s="92"/>
    </row>
    <row r="9" spans="1:28" ht="135" customHeight="1" x14ac:dyDescent="0.2">
      <c r="A9" s="107" t="s">
        <v>12</v>
      </c>
      <c r="B9" s="98"/>
      <c r="D9" s="107" t="s">
        <v>14</v>
      </c>
      <c r="E9" s="98" t="s">
        <v>304</v>
      </c>
      <c r="F9" s="86"/>
      <c r="G9" s="86"/>
      <c r="H9" s="86"/>
      <c r="I9" s="86"/>
      <c r="J9" s="86"/>
      <c r="K9" s="86"/>
      <c r="L9" s="86"/>
      <c r="M9" s="86"/>
      <c r="N9" s="86"/>
      <c r="O9" s="86"/>
      <c r="P9" s="86"/>
      <c r="Q9" s="86"/>
      <c r="R9" s="86"/>
      <c r="S9" s="86"/>
      <c r="T9" s="86"/>
      <c r="U9" s="86"/>
      <c r="V9" s="86"/>
      <c r="W9" s="86"/>
      <c r="X9" s="86"/>
      <c r="Y9" s="86"/>
      <c r="Z9" s="86"/>
      <c r="AA9" s="86"/>
      <c r="AB9" s="86"/>
    </row>
    <row r="10" spans="1:28" x14ac:dyDescent="0.2">
      <c r="A10" s="92"/>
      <c r="B10" s="92"/>
      <c r="C10" s="86"/>
      <c r="D10" s="86"/>
      <c r="E10" s="86"/>
      <c r="F10" s="86"/>
      <c r="G10" s="86"/>
      <c r="H10" s="86"/>
      <c r="I10" s="86"/>
      <c r="J10" s="86"/>
      <c r="K10" s="86"/>
      <c r="L10" s="86"/>
      <c r="M10" s="86"/>
      <c r="N10" s="86"/>
      <c r="O10" s="86"/>
      <c r="P10" s="86"/>
      <c r="Q10" s="86"/>
      <c r="R10" s="86"/>
      <c r="S10" s="86"/>
      <c r="T10" s="86"/>
      <c r="U10" s="86"/>
      <c r="V10" s="86"/>
      <c r="W10" s="86"/>
      <c r="X10" s="86"/>
      <c r="Y10" s="86"/>
      <c r="Z10" s="86"/>
      <c r="AA10" s="86"/>
      <c r="AB10" s="86"/>
    </row>
    <row r="11" spans="1:28" hidden="1" x14ac:dyDescent="0.2"/>
    <row r="12" spans="1:28" hidden="1" x14ac:dyDescent="0.2"/>
    <row r="13" spans="1:28" hidden="1" x14ac:dyDescent="0.2"/>
    <row r="14" spans="1:28" hidden="1" x14ac:dyDescent="0.2"/>
    <row r="15" spans="1:28" hidden="1" x14ac:dyDescent="0.2"/>
    <row r="16" spans="1:28" hidden="1" x14ac:dyDescent="0.2"/>
    <row r="17" hidden="1" x14ac:dyDescent="0.2"/>
    <row r="18" hidden="1" x14ac:dyDescent="0.2"/>
    <row r="19" hidden="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sheetData>
  <mergeCells count="7">
    <mergeCell ref="I2:N2"/>
    <mergeCell ref="O2:S2"/>
    <mergeCell ref="T2:Y2"/>
    <mergeCell ref="E3:G3"/>
    <mergeCell ref="I3:K3"/>
    <mergeCell ref="L3:N3"/>
    <mergeCell ref="W3:X3"/>
  </mergeCells>
  <conditionalFormatting sqref="W5:X7">
    <cfRule type="expression" dxfId="124" priority="2">
      <formula>$D5=#REF!</formula>
    </cfRule>
  </conditionalFormatting>
  <conditionalFormatting sqref="P6:R7 P5:Q5">
    <cfRule type="expression" dxfId="123" priority="3">
      <formula>$O5=#REF!</formula>
    </cfRule>
  </conditionalFormatting>
  <conditionalFormatting sqref="I5:K7 T5:T7">
    <cfRule type="expression" dxfId="122" priority="4">
      <formula>$H5=#REF!</formula>
    </cfRule>
  </conditionalFormatting>
  <conditionalFormatting sqref="U5:V7">
    <cfRule type="expression" dxfId="121" priority="5">
      <formula>$H5=#REF!</formula>
    </cfRule>
  </conditionalFormatting>
  <conditionalFormatting sqref="R5">
    <cfRule type="expression" dxfId="120" priority="1">
      <formula>$O5=#REF!</formula>
    </cfRule>
  </conditionalFormatting>
  <dataValidations count="9">
    <dataValidation type="list" allowBlank="1" showInputMessage="1" showErrorMessage="1" sqref="P5:P7">
      <formula1>LIST_Per</formula1>
    </dataValidation>
    <dataValidation type="list" allowBlank="1" showInputMessage="1" showErrorMessage="1" sqref="O5:O7">
      <formula1>LIST_CKnd</formula1>
    </dataValidation>
    <dataValidation type="list" allowBlank="1" showInputMessage="1" showErrorMessage="1" sqref="V5:V7">
      <formula1>LIST_Con</formula1>
    </dataValidation>
    <dataValidation type="list" allowBlank="1" showInputMessage="1" showErrorMessage="1" sqref="U5:U7">
      <formula1>LIST_Test</formula1>
    </dataValidation>
    <dataValidation type="list" allowBlank="1" showInputMessage="1" showErrorMessage="1" sqref="H5:H7">
      <formula1>LIST_CNon</formula1>
    </dataValidation>
    <dataValidation type="list" allowBlank="1" showInputMessage="1" showErrorMessage="1" sqref="G5:G7">
      <formula1>LIST_Area</formula1>
    </dataValidation>
    <dataValidation type="list" allowBlank="1" showInputMessage="1" showErrorMessage="1" sqref="F5:F7">
      <formula1>LIST_AgrGrp</formula1>
    </dataValidation>
    <dataValidation type="list" allowBlank="1" showInputMessage="1" showErrorMessage="1" sqref="D5:D7">
      <formula1>LIST_Func</formula1>
    </dataValidation>
    <dataValidation type="list" allowBlank="1" showInputMessage="1" showErrorMessage="1" sqref="E5:E7">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Cliquez ici pour l'Info Pauvreté</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Les chiffres dans les cellules fusionnées représentent les totaux, faute de disposer des données détaillées par régime</v>
      </c>
      <c r="C1" s="155" t="str">
        <f ca="1">IF(OFFSET('Inventaire des régimes'!C5,(_xlfn.SHEET()-2),0)=0,"Name of Scheme in English", OFFSET('Inventaire des régimes'!C5,(_xlfn.SHEET()-2),0))</f>
        <v>Sources:</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2"/>
  <cols>
    <col min="1" max="1" width="9.7109375" style="83" customWidth="1"/>
    <col min="2" max="3" width="25.7109375" style="83" customWidth="1"/>
    <col min="4" max="4" width="16" style="83" customWidth="1"/>
    <col min="5" max="5" width="25.7109375" style="83" customWidth="1"/>
    <col min="6" max="6" width="13.5703125" style="83" bestFit="1" customWidth="1"/>
    <col min="7" max="7" width="10" style="83" bestFit="1" customWidth="1"/>
    <col min="8" max="8" width="16.42578125" style="83" customWidth="1"/>
    <col min="9" max="14" width="11.7109375" style="83" customWidth="1"/>
    <col min="15" max="16" width="16.7109375" style="83" bestFit="1" customWidth="1"/>
    <col min="17" max="18" width="12.28515625" style="83" bestFit="1" customWidth="1"/>
    <col min="19" max="20" width="11.7109375" style="83" customWidth="1"/>
    <col min="21" max="21" width="17" style="83" customWidth="1"/>
    <col min="22" max="22" width="16.7109375" style="83" bestFit="1" customWidth="1"/>
    <col min="23" max="26" width="11.7109375" style="83" customWidth="1"/>
    <col min="27" max="27" width="13.85546875" style="83" customWidth="1"/>
    <col min="28" max="28" width="3.85546875" style="83" customWidth="1"/>
    <col min="29" max="30" width="9.140625" style="83" hidden="1" customWidth="1"/>
    <col min="31" max="32" width="0" style="83" hidden="1" customWidth="1"/>
    <col min="33" max="16384" width="9.140625" style="83" hidden="1"/>
  </cols>
  <sheetData>
    <row r="1" spans="1:28" ht="30" customHeight="1" thickBot="1" x14ac:dyDescent="0.25">
      <c r="A1" s="131" t="s">
        <v>288</v>
      </c>
      <c r="B1" s="154" t="str">
        <f ca="1">IF(OFFSET('Inventaire des régimes'!B5,(_xlfn.SHEET()-2),0)=0,"-", OFFSET('Inventaire des régimes'!B5,(_xlfn.SHEET()-2),0))</f>
        <v>-</v>
      </c>
      <c r="C1" s="155" t="str">
        <f ca="1">IF(OFFSET('Inventaire des régimes'!C5,(_xlfn.SHEET()-2),0)=0,"Name of Scheme in English", OFFSET('Inventaire des régimes'!C5,(_xlfn.SHEET()-2),0))</f>
        <v>Name of Scheme in English</v>
      </c>
      <c r="D1" s="156">
        <f>IF('Inventaire des régimes'!B2=0, "Année", 'Inventaire des régimes'!B2)</f>
        <v>2022</v>
      </c>
      <c r="E1" s="86"/>
      <c r="F1" s="86"/>
      <c r="G1" s="86"/>
      <c r="H1" s="86"/>
      <c r="I1" s="86"/>
      <c r="J1" s="86"/>
      <c r="K1" s="86"/>
      <c r="L1" s="86"/>
      <c r="M1" s="86"/>
      <c r="N1" s="86"/>
      <c r="O1" s="86"/>
      <c r="P1" s="86"/>
      <c r="Q1" s="86"/>
      <c r="R1" s="86"/>
      <c r="S1" s="86"/>
      <c r="T1" s="86"/>
      <c r="U1" s="86"/>
      <c r="V1" s="86"/>
      <c r="W1" s="86"/>
      <c r="X1" s="86"/>
      <c r="Y1" s="86"/>
      <c r="Z1" s="86"/>
      <c r="AA1" s="86"/>
      <c r="AB1" s="86"/>
    </row>
    <row r="2" spans="1:28" ht="13.5" thickTop="1" x14ac:dyDescent="0.2">
      <c r="A2" s="86"/>
      <c r="B2" s="90"/>
      <c r="C2" s="90"/>
      <c r="D2" s="86"/>
      <c r="E2" s="86"/>
      <c r="F2" s="86"/>
      <c r="G2" s="86"/>
      <c r="H2" s="86"/>
      <c r="I2" s="229" t="s">
        <v>252</v>
      </c>
      <c r="J2" s="229"/>
      <c r="K2" s="229"/>
      <c r="L2" s="229"/>
      <c r="M2" s="229"/>
      <c r="N2" s="229"/>
      <c r="O2" s="230" t="s">
        <v>253</v>
      </c>
      <c r="P2" s="230"/>
      <c r="Q2" s="230"/>
      <c r="R2" s="230"/>
      <c r="S2" s="230"/>
      <c r="T2" s="228" t="s">
        <v>254</v>
      </c>
      <c r="U2" s="228"/>
      <c r="V2" s="228"/>
      <c r="W2" s="228"/>
      <c r="X2" s="228"/>
      <c r="Y2" s="228"/>
      <c r="Z2" s="91" t="s">
        <v>255</v>
      </c>
      <c r="AA2" s="86"/>
      <c r="AB2" s="86"/>
    </row>
    <row r="3" spans="1:28" ht="94.5" x14ac:dyDescent="0.2">
      <c r="A3" s="145" t="s">
        <v>230</v>
      </c>
      <c r="B3" s="133" t="s">
        <v>231</v>
      </c>
      <c r="C3" s="133" t="s">
        <v>232</v>
      </c>
      <c r="D3" s="133" t="s">
        <v>233</v>
      </c>
      <c r="E3" s="214" t="s">
        <v>251</v>
      </c>
      <c r="F3" s="215"/>
      <c r="G3" s="216"/>
      <c r="H3" s="133" t="s">
        <v>234</v>
      </c>
      <c r="I3" s="214" t="s">
        <v>235</v>
      </c>
      <c r="J3" s="215"/>
      <c r="K3" s="216"/>
      <c r="L3" s="222" t="s">
        <v>229</v>
      </c>
      <c r="M3" s="223"/>
      <c r="N3" s="224"/>
      <c r="O3" s="133" t="s">
        <v>236</v>
      </c>
      <c r="P3" s="133" t="s">
        <v>237</v>
      </c>
      <c r="Q3" s="133" t="s">
        <v>238</v>
      </c>
      <c r="R3" s="133" t="s">
        <v>239</v>
      </c>
      <c r="S3" s="133" t="s">
        <v>240</v>
      </c>
      <c r="T3" s="133" t="s">
        <v>241</v>
      </c>
      <c r="U3" s="133" t="s">
        <v>286</v>
      </c>
      <c r="V3" s="133" t="s">
        <v>242</v>
      </c>
      <c r="W3" s="214" t="s">
        <v>243</v>
      </c>
      <c r="X3" s="216"/>
      <c r="Y3" s="133" t="s">
        <v>244</v>
      </c>
      <c r="Z3" s="133" t="s">
        <v>245</v>
      </c>
      <c r="AA3" s="133" t="s">
        <v>246</v>
      </c>
      <c r="AB3" s="86"/>
    </row>
    <row r="4" spans="1:28" s="111" customFormat="1" ht="13.5" x14ac:dyDescent="0.2">
      <c r="A4" s="146"/>
      <c r="B4" s="147"/>
      <c r="C4" s="146"/>
      <c r="D4" s="148" t="s">
        <v>221</v>
      </c>
      <c r="E4" s="149" t="s">
        <v>247</v>
      </c>
      <c r="F4" s="149" t="s">
        <v>248</v>
      </c>
      <c r="G4" s="149" t="s">
        <v>249</v>
      </c>
      <c r="H4" s="148" t="s">
        <v>221</v>
      </c>
      <c r="I4" s="149" t="s">
        <v>4</v>
      </c>
      <c r="J4" s="149" t="s">
        <v>222</v>
      </c>
      <c r="K4" s="149" t="s">
        <v>223</v>
      </c>
      <c r="L4" s="149" t="s">
        <v>4</v>
      </c>
      <c r="M4" s="149" t="s">
        <v>222</v>
      </c>
      <c r="N4" s="149" t="s">
        <v>223</v>
      </c>
      <c r="O4" s="148" t="s">
        <v>221</v>
      </c>
      <c r="P4" s="148" t="s">
        <v>221</v>
      </c>
      <c r="Q4" s="150" t="s">
        <v>250</v>
      </c>
      <c r="R4" s="150" t="s">
        <v>250</v>
      </c>
      <c r="S4" s="151"/>
      <c r="T4" s="147"/>
      <c r="U4" s="150" t="s">
        <v>221</v>
      </c>
      <c r="V4" s="150" t="s">
        <v>221</v>
      </c>
      <c r="W4" s="152" t="s">
        <v>222</v>
      </c>
      <c r="X4" s="153" t="s">
        <v>223</v>
      </c>
      <c r="Y4" s="147"/>
      <c r="Z4" s="147"/>
      <c r="AA4" s="147"/>
      <c r="AB4" s="110"/>
    </row>
    <row r="5" spans="1:28" s="84" customFormat="1" x14ac:dyDescent="0.25">
      <c r="A5" s="118" t="s">
        <v>256</v>
      </c>
      <c r="B5" s="163"/>
      <c r="C5" s="164"/>
      <c r="D5" s="165"/>
      <c r="E5" s="166"/>
      <c r="F5" s="165"/>
      <c r="G5" s="164"/>
      <c r="H5" s="164"/>
      <c r="I5" s="180"/>
      <c r="J5" s="180"/>
      <c r="K5" s="180"/>
      <c r="L5" s="181"/>
      <c r="M5" s="182"/>
      <c r="N5" s="182"/>
      <c r="O5" s="167"/>
      <c r="P5" s="168"/>
      <c r="Q5" s="167"/>
      <c r="R5" s="167"/>
      <c r="S5" s="167"/>
      <c r="T5" s="169"/>
      <c r="U5" s="169"/>
      <c r="V5" s="169"/>
      <c r="W5" s="170"/>
      <c r="X5" s="170"/>
      <c r="Y5" s="169"/>
      <c r="Z5" s="178"/>
      <c r="AA5" s="164"/>
      <c r="AB5" s="119"/>
    </row>
    <row r="6" spans="1:28" s="84" customFormat="1" x14ac:dyDescent="0.25">
      <c r="A6" s="118" t="s">
        <v>257</v>
      </c>
      <c r="B6" s="171"/>
      <c r="C6" s="172"/>
      <c r="D6" s="173"/>
      <c r="E6" s="174"/>
      <c r="F6" s="175"/>
      <c r="G6" s="172"/>
      <c r="H6" s="172"/>
      <c r="I6" s="183"/>
      <c r="J6" s="183"/>
      <c r="K6" s="183"/>
      <c r="L6" s="184"/>
      <c r="M6" s="184"/>
      <c r="N6" s="184"/>
      <c r="O6" s="168"/>
      <c r="P6" s="168"/>
      <c r="Q6" s="168"/>
      <c r="R6" s="168"/>
      <c r="S6" s="168"/>
      <c r="T6" s="176"/>
      <c r="U6" s="176"/>
      <c r="V6" s="176"/>
      <c r="W6" s="177"/>
      <c r="X6" s="177"/>
      <c r="Y6" s="176"/>
      <c r="Z6" s="179"/>
      <c r="AA6" s="172"/>
      <c r="AB6" s="119"/>
    </row>
    <row r="7" spans="1:28" s="84" customFormat="1" x14ac:dyDescent="0.25">
      <c r="A7" s="118" t="s">
        <v>258</v>
      </c>
      <c r="B7" s="171"/>
      <c r="C7" s="172"/>
      <c r="D7" s="173"/>
      <c r="E7" s="174"/>
      <c r="F7" s="175"/>
      <c r="G7" s="172"/>
      <c r="H7" s="172"/>
      <c r="I7" s="183"/>
      <c r="J7" s="183"/>
      <c r="K7" s="183"/>
      <c r="L7" s="184"/>
      <c r="M7" s="184"/>
      <c r="N7" s="184"/>
      <c r="O7" s="168"/>
      <c r="P7" s="168"/>
      <c r="Q7" s="168"/>
      <c r="R7" s="168"/>
      <c r="S7" s="168"/>
      <c r="T7" s="176"/>
      <c r="U7" s="176"/>
      <c r="V7" s="176"/>
      <c r="W7" s="177"/>
      <c r="X7" s="177"/>
      <c r="Y7" s="176"/>
      <c r="Z7" s="179"/>
      <c r="AA7" s="172"/>
      <c r="AB7" s="119"/>
    </row>
    <row r="8" spans="1:28" s="84" customFormat="1" x14ac:dyDescent="0.25">
      <c r="A8" s="118" t="s">
        <v>259</v>
      </c>
      <c r="B8" s="171"/>
      <c r="C8" s="172"/>
      <c r="D8" s="173"/>
      <c r="E8" s="174"/>
      <c r="F8" s="175"/>
      <c r="G8" s="172"/>
      <c r="H8" s="172"/>
      <c r="I8" s="183"/>
      <c r="J8" s="183"/>
      <c r="K8" s="183"/>
      <c r="L8" s="184"/>
      <c r="M8" s="184"/>
      <c r="N8" s="184"/>
      <c r="O8" s="168"/>
      <c r="P8" s="168"/>
      <c r="Q8" s="168"/>
      <c r="R8" s="168"/>
      <c r="S8" s="168"/>
      <c r="T8" s="176"/>
      <c r="U8" s="176"/>
      <c r="V8" s="176"/>
      <c r="W8" s="177"/>
      <c r="X8" s="177"/>
      <c r="Y8" s="176"/>
      <c r="Z8" s="179"/>
      <c r="AA8" s="172"/>
      <c r="AB8" s="119"/>
    </row>
    <row r="9" spans="1:28" s="84" customFormat="1" x14ac:dyDescent="0.25">
      <c r="A9" s="118" t="s">
        <v>260</v>
      </c>
      <c r="B9" s="171"/>
      <c r="C9" s="172"/>
      <c r="D9" s="173"/>
      <c r="E9" s="174"/>
      <c r="F9" s="175"/>
      <c r="G9" s="172"/>
      <c r="H9" s="172"/>
      <c r="I9" s="183"/>
      <c r="J9" s="183"/>
      <c r="K9" s="183"/>
      <c r="L9" s="184"/>
      <c r="M9" s="184"/>
      <c r="N9" s="184"/>
      <c r="O9" s="168"/>
      <c r="P9" s="168"/>
      <c r="Q9" s="168"/>
      <c r="R9" s="168"/>
      <c r="S9" s="168"/>
      <c r="T9" s="176"/>
      <c r="U9" s="176"/>
      <c r="V9" s="176"/>
      <c r="W9" s="177"/>
      <c r="X9" s="177"/>
      <c r="Y9" s="176"/>
      <c r="Z9" s="179"/>
      <c r="AA9" s="172"/>
      <c r="AB9" s="119"/>
    </row>
    <row r="10" spans="1:28" s="84" customFormat="1" x14ac:dyDescent="0.25">
      <c r="A10" s="118" t="s">
        <v>261</v>
      </c>
      <c r="B10" s="171"/>
      <c r="C10" s="172"/>
      <c r="D10" s="173"/>
      <c r="E10" s="174"/>
      <c r="F10" s="175"/>
      <c r="G10" s="172"/>
      <c r="H10" s="172"/>
      <c r="I10" s="183"/>
      <c r="J10" s="183"/>
      <c r="K10" s="183"/>
      <c r="L10" s="185"/>
      <c r="M10" s="184"/>
      <c r="N10" s="184"/>
      <c r="O10" s="168"/>
      <c r="P10" s="168"/>
      <c r="Q10" s="168"/>
      <c r="R10" s="168"/>
      <c r="S10" s="168"/>
      <c r="T10" s="176"/>
      <c r="U10" s="176"/>
      <c r="V10" s="176"/>
      <c r="W10" s="177"/>
      <c r="X10" s="177"/>
      <c r="Y10" s="176"/>
      <c r="Z10" s="179"/>
      <c r="AA10" s="172"/>
      <c r="AB10" s="119"/>
    </row>
    <row r="11" spans="1:28" s="84" customFormat="1" x14ac:dyDescent="0.25">
      <c r="A11" s="118" t="s">
        <v>262</v>
      </c>
      <c r="B11" s="171"/>
      <c r="C11" s="172"/>
      <c r="D11" s="173"/>
      <c r="E11" s="174"/>
      <c r="F11" s="175"/>
      <c r="G11" s="172"/>
      <c r="H11" s="172"/>
      <c r="I11" s="183"/>
      <c r="J11" s="183"/>
      <c r="K11" s="183"/>
      <c r="L11" s="184"/>
      <c r="M11" s="184"/>
      <c r="N11" s="184"/>
      <c r="O11" s="168"/>
      <c r="P11" s="168"/>
      <c r="Q11" s="168"/>
      <c r="R11" s="168"/>
      <c r="S11" s="168"/>
      <c r="T11" s="176"/>
      <c r="U11" s="176"/>
      <c r="V11" s="176"/>
      <c r="W11" s="177"/>
      <c r="X11" s="177"/>
      <c r="Y11" s="176"/>
      <c r="Z11" s="179"/>
      <c r="AA11" s="172"/>
      <c r="AB11" s="119"/>
    </row>
    <row r="12" spans="1:28" s="84" customFormat="1" x14ac:dyDescent="0.25">
      <c r="A12" s="118" t="s">
        <v>263</v>
      </c>
      <c r="B12" s="171"/>
      <c r="C12" s="172"/>
      <c r="D12" s="173"/>
      <c r="E12" s="174"/>
      <c r="F12" s="175"/>
      <c r="G12" s="172"/>
      <c r="H12" s="172"/>
      <c r="I12" s="183"/>
      <c r="J12" s="183"/>
      <c r="K12" s="183"/>
      <c r="L12" s="184"/>
      <c r="M12" s="184"/>
      <c r="N12" s="184"/>
      <c r="O12" s="168"/>
      <c r="P12" s="168"/>
      <c r="Q12" s="168"/>
      <c r="R12" s="168"/>
      <c r="S12" s="168"/>
      <c r="T12" s="176"/>
      <c r="U12" s="176"/>
      <c r="V12" s="176"/>
      <c r="W12" s="177"/>
      <c r="X12" s="177"/>
      <c r="Y12" s="176"/>
      <c r="Z12" s="179"/>
      <c r="AA12" s="172"/>
      <c r="AB12" s="119"/>
    </row>
    <row r="13" spans="1:28" s="84" customFormat="1" x14ac:dyDescent="0.25">
      <c r="A13" s="118" t="s">
        <v>264</v>
      </c>
      <c r="B13" s="171"/>
      <c r="C13" s="172"/>
      <c r="D13" s="173"/>
      <c r="E13" s="174"/>
      <c r="F13" s="175"/>
      <c r="G13" s="172"/>
      <c r="H13" s="172"/>
      <c r="I13" s="183"/>
      <c r="J13" s="183"/>
      <c r="K13" s="183"/>
      <c r="L13" s="184"/>
      <c r="M13" s="184"/>
      <c r="N13" s="184"/>
      <c r="O13" s="168"/>
      <c r="P13" s="168"/>
      <c r="Q13" s="168"/>
      <c r="R13" s="168"/>
      <c r="S13" s="168"/>
      <c r="T13" s="176"/>
      <c r="U13" s="176"/>
      <c r="V13" s="176"/>
      <c r="W13" s="177"/>
      <c r="X13" s="177"/>
      <c r="Y13" s="176"/>
      <c r="Z13" s="179"/>
      <c r="AA13" s="172"/>
      <c r="AB13" s="119"/>
    </row>
    <row r="14" spans="1:28" s="84" customFormat="1" x14ac:dyDescent="0.25">
      <c r="A14" s="118" t="s">
        <v>265</v>
      </c>
      <c r="B14" s="171"/>
      <c r="C14" s="172"/>
      <c r="D14" s="173"/>
      <c r="E14" s="174"/>
      <c r="F14" s="175"/>
      <c r="G14" s="172"/>
      <c r="H14" s="172"/>
      <c r="I14" s="183"/>
      <c r="J14" s="183"/>
      <c r="K14" s="183"/>
      <c r="L14" s="184"/>
      <c r="M14" s="184"/>
      <c r="N14" s="184"/>
      <c r="O14" s="168"/>
      <c r="P14" s="168"/>
      <c r="Q14" s="168"/>
      <c r="R14" s="168"/>
      <c r="S14" s="168"/>
      <c r="T14" s="176"/>
      <c r="U14" s="176"/>
      <c r="V14" s="176"/>
      <c r="W14" s="177"/>
      <c r="X14" s="177"/>
      <c r="Y14" s="176"/>
      <c r="Z14" s="179"/>
      <c r="AA14" s="172"/>
      <c r="AB14" s="119"/>
    </row>
    <row r="15" spans="1:28" s="84" customFormat="1" x14ac:dyDescent="0.25">
      <c r="A15" s="118" t="s">
        <v>266</v>
      </c>
      <c r="B15" s="171"/>
      <c r="C15" s="172"/>
      <c r="D15" s="173"/>
      <c r="E15" s="174"/>
      <c r="F15" s="175"/>
      <c r="G15" s="172"/>
      <c r="H15" s="172"/>
      <c r="I15" s="183"/>
      <c r="J15" s="183"/>
      <c r="K15" s="183"/>
      <c r="L15" s="184"/>
      <c r="M15" s="184"/>
      <c r="N15" s="184"/>
      <c r="O15" s="168"/>
      <c r="P15" s="168"/>
      <c r="Q15" s="168"/>
      <c r="R15" s="168"/>
      <c r="S15" s="168"/>
      <c r="T15" s="176"/>
      <c r="U15" s="176"/>
      <c r="V15" s="176"/>
      <c r="W15" s="177"/>
      <c r="X15" s="177"/>
      <c r="Y15" s="176"/>
      <c r="Z15" s="179"/>
      <c r="AA15" s="172"/>
      <c r="AB15" s="119"/>
    </row>
    <row r="16" spans="1:28" s="84" customFormat="1" x14ac:dyDescent="0.25">
      <c r="A16" s="118" t="s">
        <v>267</v>
      </c>
      <c r="B16" s="171"/>
      <c r="C16" s="172"/>
      <c r="D16" s="173"/>
      <c r="E16" s="174"/>
      <c r="F16" s="175"/>
      <c r="G16" s="172"/>
      <c r="H16" s="172"/>
      <c r="I16" s="183"/>
      <c r="J16" s="183"/>
      <c r="K16" s="183"/>
      <c r="L16" s="184"/>
      <c r="M16" s="184"/>
      <c r="N16" s="184"/>
      <c r="O16" s="168"/>
      <c r="P16" s="168"/>
      <c r="Q16" s="168"/>
      <c r="R16" s="168"/>
      <c r="S16" s="168"/>
      <c r="T16" s="176"/>
      <c r="U16" s="176"/>
      <c r="V16" s="176"/>
      <c r="W16" s="177"/>
      <c r="X16" s="177"/>
      <c r="Y16" s="176"/>
      <c r="Z16" s="179"/>
      <c r="AA16" s="172"/>
      <c r="AB16" s="119"/>
    </row>
    <row r="17" spans="1:28" s="84" customFormat="1" x14ac:dyDescent="0.25">
      <c r="A17" s="118" t="s">
        <v>268</v>
      </c>
      <c r="B17" s="171"/>
      <c r="C17" s="172"/>
      <c r="D17" s="173"/>
      <c r="E17" s="174"/>
      <c r="F17" s="175"/>
      <c r="G17" s="172"/>
      <c r="H17" s="172"/>
      <c r="I17" s="183"/>
      <c r="J17" s="183"/>
      <c r="K17" s="183"/>
      <c r="L17" s="184"/>
      <c r="M17" s="184"/>
      <c r="N17" s="184"/>
      <c r="O17" s="168"/>
      <c r="P17" s="168"/>
      <c r="Q17" s="168"/>
      <c r="R17" s="168"/>
      <c r="S17" s="168"/>
      <c r="T17" s="176"/>
      <c r="U17" s="176"/>
      <c r="V17" s="176"/>
      <c r="W17" s="177"/>
      <c r="X17" s="177"/>
      <c r="Y17" s="176"/>
      <c r="Z17" s="179"/>
      <c r="AA17" s="172"/>
      <c r="AB17" s="119"/>
    </row>
    <row r="18" spans="1:28" s="84" customFormat="1" x14ac:dyDescent="0.25">
      <c r="A18" s="118" t="s">
        <v>269</v>
      </c>
      <c r="B18" s="171"/>
      <c r="C18" s="172"/>
      <c r="D18" s="173"/>
      <c r="E18" s="174"/>
      <c r="F18" s="175"/>
      <c r="G18" s="172"/>
      <c r="H18" s="172"/>
      <c r="I18" s="183"/>
      <c r="J18" s="183"/>
      <c r="K18" s="183"/>
      <c r="L18" s="184"/>
      <c r="M18" s="184"/>
      <c r="N18" s="184"/>
      <c r="O18" s="168"/>
      <c r="P18" s="168"/>
      <c r="Q18" s="168"/>
      <c r="R18" s="168"/>
      <c r="S18" s="168"/>
      <c r="T18" s="176"/>
      <c r="U18" s="176"/>
      <c r="V18" s="176"/>
      <c r="W18" s="177"/>
      <c r="X18" s="177"/>
      <c r="Y18" s="176"/>
      <c r="Z18" s="179"/>
      <c r="AA18" s="172"/>
      <c r="AB18" s="119"/>
    </row>
    <row r="19" spans="1:28" s="84" customFormat="1" x14ac:dyDescent="0.25">
      <c r="A19" s="118" t="s">
        <v>270</v>
      </c>
      <c r="B19" s="171"/>
      <c r="C19" s="172"/>
      <c r="D19" s="173"/>
      <c r="E19" s="174"/>
      <c r="F19" s="175"/>
      <c r="G19" s="172"/>
      <c r="H19" s="172"/>
      <c r="I19" s="183"/>
      <c r="J19" s="183"/>
      <c r="K19" s="183"/>
      <c r="L19" s="184"/>
      <c r="M19" s="184"/>
      <c r="N19" s="184"/>
      <c r="O19" s="168"/>
      <c r="P19" s="168"/>
      <c r="Q19" s="168"/>
      <c r="R19" s="168"/>
      <c r="S19" s="168"/>
      <c r="T19" s="176"/>
      <c r="U19" s="176"/>
      <c r="V19" s="176"/>
      <c r="W19" s="177"/>
      <c r="X19" s="177"/>
      <c r="Y19" s="176"/>
      <c r="Z19" s="179"/>
      <c r="AA19" s="172"/>
      <c r="AB19" s="119"/>
    </row>
    <row r="20" spans="1:28" s="85" customFormat="1" x14ac:dyDescent="0.25">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row>
    <row r="21" spans="1:28" ht="135" customHeight="1" x14ac:dyDescent="0.2">
      <c r="A21" s="107" t="s">
        <v>12</v>
      </c>
      <c r="B21" s="98"/>
      <c r="D21" s="107" t="s">
        <v>14</v>
      </c>
      <c r="E21" s="98"/>
      <c r="F21" s="86"/>
      <c r="G21" s="86"/>
      <c r="H21" s="86"/>
      <c r="I21" s="86"/>
      <c r="J21" s="86"/>
      <c r="K21" s="86"/>
      <c r="L21" s="86"/>
      <c r="M21" s="86"/>
      <c r="N21" s="86"/>
      <c r="O21" s="86"/>
      <c r="P21" s="86"/>
      <c r="Q21" s="86"/>
      <c r="R21" s="86"/>
      <c r="S21" s="86"/>
      <c r="T21" s="86"/>
      <c r="U21" s="86"/>
      <c r="V21" s="86"/>
      <c r="W21" s="86"/>
      <c r="X21" s="86"/>
      <c r="Y21" s="86"/>
      <c r="Z21" s="86"/>
      <c r="AA21" s="86"/>
      <c r="AB21" s="86"/>
    </row>
    <row r="22" spans="1:28" x14ac:dyDescent="0.2">
      <c r="A22" s="92"/>
      <c r="B22" s="92"/>
      <c r="C22" s="86"/>
      <c r="D22" s="86"/>
      <c r="E22" s="86"/>
      <c r="F22" s="86"/>
      <c r="G22" s="86"/>
      <c r="H22" s="86"/>
      <c r="I22" s="86"/>
      <c r="J22" s="86"/>
      <c r="K22" s="86"/>
      <c r="L22" s="86"/>
      <c r="M22" s="86"/>
      <c r="N22" s="86"/>
      <c r="O22" s="86"/>
      <c r="P22" s="86"/>
      <c r="Q22" s="86"/>
      <c r="R22" s="86"/>
      <c r="S22" s="86"/>
      <c r="T22" s="86"/>
      <c r="U22" s="86"/>
      <c r="V22" s="86"/>
      <c r="W22" s="86"/>
      <c r="X22" s="86"/>
      <c r="Y22" s="86"/>
      <c r="Z22" s="86"/>
      <c r="AA22" s="86"/>
      <c r="AB22" s="86"/>
    </row>
    <row r="23" spans="1:28" hidden="1" x14ac:dyDescent="0.2"/>
    <row r="24" spans="1:28" hidden="1" x14ac:dyDescent="0.2"/>
    <row r="25" spans="1:28" hidden="1" x14ac:dyDescent="0.2"/>
    <row r="26" spans="1:28" hidden="1" x14ac:dyDescent="0.2"/>
    <row r="27" spans="1:28" hidden="1" x14ac:dyDescent="0.2"/>
    <row r="28" spans="1:28" hidden="1" x14ac:dyDescent="0.2"/>
    <row r="29" spans="1:28" hidden="1" x14ac:dyDescent="0.2"/>
    <row r="30" spans="1:28" hidden="1" x14ac:dyDescent="0.2"/>
    <row r="31" spans="1:28" hidden="1" x14ac:dyDescent="0.2"/>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formula1>LIST_Per</formula1>
    </dataValidation>
    <dataValidation type="list" allowBlank="1" showInputMessage="1" showErrorMessage="1" sqref="O5:O19">
      <formula1>LIST_CKnd</formula1>
    </dataValidation>
    <dataValidation type="list" allowBlank="1" showInputMessage="1" showErrorMessage="1" sqref="V5:V19">
      <formula1>LIST_Con</formula1>
    </dataValidation>
    <dataValidation type="list" allowBlank="1" showInputMessage="1" showErrorMessage="1" sqref="U5:U19">
      <formula1>LIST_Test</formula1>
    </dataValidation>
    <dataValidation type="list" allowBlank="1" showInputMessage="1" showErrorMessage="1" sqref="H5:H19">
      <formula1>LIST_CNon</formula1>
    </dataValidation>
    <dataValidation type="list" allowBlank="1" showInputMessage="1" showErrorMessage="1" sqref="G5:G19">
      <formula1>LIST_Area</formula1>
    </dataValidation>
    <dataValidation type="list" allowBlank="1" showInputMessage="1" showErrorMessage="1" sqref="F5:F19">
      <formula1>LIST_AgrGrp</formula1>
    </dataValidation>
    <dataValidation type="list" allowBlank="1" showInputMessage="1" showErrorMessage="1" sqref="D5:D19">
      <formula1>LIST_Func</formula1>
    </dataValidation>
    <dataValidation type="list" allowBlank="1" showInputMessage="1" showErrorMessage="1" sqref="E5:E19">
      <formula1>#REF!</formula1>
    </dataValidation>
  </dataValidations>
  <hyperlinks>
    <hyperlink ref="A1" location="'Inventaire des régimes'!B1" display="RETOUR à l'Inventaire"/>
  </hyperlinks>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DG">
    <tabColor rgb="FFFFC000"/>
  </sheetPr>
  <dimension ref="A1:D39"/>
  <sheetViews>
    <sheetView workbookViewId="0">
      <selection activeCell="B3" sqref="B3"/>
    </sheetView>
  </sheetViews>
  <sheetFormatPr baseColWidth="10" defaultColWidth="9.140625" defaultRowHeight="15" x14ac:dyDescent="0.25"/>
  <cols>
    <col min="1" max="1" width="41.5703125" bestFit="1" customWidth="1"/>
    <col min="4" max="4" width="9.7109375" customWidth="1"/>
    <col min="6" max="6" width="32.28515625" bestFit="1" customWidth="1"/>
  </cols>
  <sheetData>
    <row r="1" spans="1:4" x14ac:dyDescent="0.25">
      <c r="A1" s="28"/>
      <c r="B1" s="28" t="s">
        <v>4</v>
      </c>
      <c r="C1" s="28" t="s">
        <v>6</v>
      </c>
      <c r="D1" s="28" t="s">
        <v>5</v>
      </c>
    </row>
    <row r="2" spans="1:4" x14ac:dyDescent="0.25">
      <c r="A2" s="15" t="s">
        <v>16</v>
      </c>
      <c r="B2" s="16"/>
      <c r="C2" s="16"/>
      <c r="D2" s="17"/>
    </row>
    <row r="3" spans="1:4" x14ac:dyDescent="0.25">
      <c r="A3" s="18" t="s">
        <v>17</v>
      </c>
      <c r="B3" s="19"/>
      <c r="C3" s="19"/>
      <c r="D3" s="20"/>
    </row>
    <row r="4" spans="1:4" x14ac:dyDescent="0.25">
      <c r="A4" s="18" t="s">
        <v>18</v>
      </c>
      <c r="B4" s="19"/>
      <c r="C4" s="19"/>
      <c r="D4" s="20"/>
    </row>
    <row r="5" spans="1:4" x14ac:dyDescent="0.25">
      <c r="A5" s="18" t="s">
        <v>19</v>
      </c>
      <c r="B5" s="19"/>
      <c r="C5" s="19"/>
      <c r="D5" s="20"/>
    </row>
    <row r="6" spans="1:4" x14ac:dyDescent="0.25">
      <c r="A6" s="18" t="s">
        <v>44</v>
      </c>
      <c r="B6" s="19"/>
      <c r="C6" s="19"/>
      <c r="D6" s="20"/>
    </row>
    <row r="7" spans="1:4" x14ac:dyDescent="0.25">
      <c r="A7" s="18" t="s">
        <v>45</v>
      </c>
      <c r="B7" s="19"/>
      <c r="C7" s="19"/>
      <c r="D7" s="20"/>
    </row>
    <row r="8" spans="1:4" s="1" customFormat="1" x14ac:dyDescent="0.25">
      <c r="A8" s="21"/>
      <c r="B8" s="20"/>
      <c r="C8" s="20"/>
      <c r="D8" s="20"/>
    </row>
    <row r="9" spans="1:4" s="1" customFormat="1" x14ac:dyDescent="0.25">
      <c r="A9" s="186" t="s">
        <v>289</v>
      </c>
      <c r="B9" s="187"/>
      <c r="C9" s="187"/>
      <c r="D9" s="188"/>
    </row>
    <row r="10" spans="1:4" s="1" customFormat="1" x14ac:dyDescent="0.25">
      <c r="A10" s="189" t="s">
        <v>290</v>
      </c>
      <c r="B10" s="190"/>
      <c r="C10" s="190"/>
      <c r="D10" s="190"/>
    </row>
    <row r="11" spans="1:4" x14ac:dyDescent="0.25">
      <c r="A11" s="191" t="s">
        <v>0</v>
      </c>
      <c r="B11" s="192"/>
      <c r="C11" s="192"/>
      <c r="D11" s="192"/>
    </row>
    <row r="12" spans="1:4" x14ac:dyDescent="0.25">
      <c r="A12" s="191"/>
      <c r="B12" s="192"/>
      <c r="C12" s="192"/>
      <c r="D12" s="192"/>
    </row>
    <row r="13" spans="1:4" x14ac:dyDescent="0.25">
      <c r="A13" s="15" t="s">
        <v>9</v>
      </c>
      <c r="B13" s="16"/>
      <c r="C13" s="16"/>
      <c r="D13" s="17"/>
    </row>
    <row r="14" spans="1:4" x14ac:dyDescent="0.25">
      <c r="A14" s="18" t="s">
        <v>22</v>
      </c>
      <c r="B14" s="19"/>
      <c r="C14" s="19"/>
      <c r="D14" s="20"/>
    </row>
    <row r="15" spans="1:4" s="2" customFormat="1" x14ac:dyDescent="0.25">
      <c r="A15" s="18"/>
      <c r="B15" s="19"/>
      <c r="C15" s="19"/>
      <c r="D15" s="20"/>
    </row>
    <row r="16" spans="1:4" x14ac:dyDescent="0.25">
      <c r="A16" s="15" t="s">
        <v>28</v>
      </c>
      <c r="B16" s="16"/>
      <c r="C16" s="16"/>
      <c r="D16" s="17"/>
    </row>
    <row r="17" spans="1:4" x14ac:dyDescent="0.25">
      <c r="A17" s="18" t="s">
        <v>27</v>
      </c>
      <c r="B17" s="19"/>
      <c r="C17" s="19"/>
      <c r="D17" s="20"/>
    </row>
    <row r="18" spans="1:4" s="2" customFormat="1" x14ac:dyDescent="0.25">
      <c r="A18" s="18"/>
      <c r="B18" s="19"/>
      <c r="C18" s="19"/>
      <c r="D18" s="20"/>
    </row>
    <row r="19" spans="1:4" x14ac:dyDescent="0.25">
      <c r="A19" s="15" t="s">
        <v>23</v>
      </c>
      <c r="B19" s="16"/>
      <c r="C19" s="16"/>
      <c r="D19" s="17"/>
    </row>
    <row r="20" spans="1:4" x14ac:dyDescent="0.25">
      <c r="A20" s="18" t="s">
        <v>51</v>
      </c>
      <c r="B20" s="19"/>
      <c r="C20" s="19"/>
      <c r="D20" s="20"/>
    </row>
    <row r="21" spans="1:4" x14ac:dyDescent="0.25">
      <c r="A21" s="18" t="s">
        <v>47</v>
      </c>
      <c r="B21" s="19"/>
      <c r="C21" s="19"/>
      <c r="D21" s="20"/>
    </row>
    <row r="22" spans="1:4" x14ac:dyDescent="0.25">
      <c r="A22" s="18" t="s">
        <v>46</v>
      </c>
      <c r="B22" s="19"/>
      <c r="C22" s="19"/>
      <c r="D22" s="20"/>
    </row>
    <row r="23" spans="1:4" x14ac:dyDescent="0.25">
      <c r="A23" s="18"/>
      <c r="B23" s="19"/>
      <c r="C23" s="19"/>
      <c r="D23" s="20"/>
    </row>
    <row r="24" spans="1:4" x14ac:dyDescent="0.25">
      <c r="A24" s="15" t="s">
        <v>291</v>
      </c>
      <c r="B24" s="15"/>
      <c r="C24" s="15"/>
      <c r="D24" s="15"/>
    </row>
    <row r="25" spans="1:4" x14ac:dyDescent="0.25">
      <c r="A25" s="18" t="s">
        <v>292</v>
      </c>
      <c r="B25" s="19"/>
      <c r="C25" s="19"/>
      <c r="D25" s="20"/>
    </row>
    <row r="26" spans="1:4" x14ac:dyDescent="0.25">
      <c r="A26" s="18"/>
      <c r="B26" s="19"/>
      <c r="C26" s="19"/>
      <c r="D26" s="20"/>
    </row>
    <row r="27" spans="1:4" x14ac:dyDescent="0.25">
      <c r="A27" s="15" t="s">
        <v>10</v>
      </c>
      <c r="B27" s="16"/>
      <c r="C27" s="16"/>
      <c r="D27" s="17"/>
    </row>
    <row r="28" spans="1:4" x14ac:dyDescent="0.25">
      <c r="A28" s="18" t="s">
        <v>20</v>
      </c>
      <c r="B28" s="19"/>
      <c r="C28" s="19"/>
      <c r="D28" s="20"/>
    </row>
    <row r="29" spans="1:4" x14ac:dyDescent="0.25">
      <c r="A29" s="18" t="s">
        <v>21</v>
      </c>
      <c r="B29" s="19"/>
      <c r="C29" s="19"/>
      <c r="D29" s="20"/>
    </row>
    <row r="30" spans="1:4" x14ac:dyDescent="0.25">
      <c r="A30" s="18"/>
      <c r="B30" s="19"/>
      <c r="C30" s="19"/>
      <c r="D30" s="20"/>
    </row>
    <row r="31" spans="1:4" x14ac:dyDescent="0.25">
      <c r="A31" s="15" t="s">
        <v>52</v>
      </c>
      <c r="B31" s="16"/>
      <c r="C31" s="16"/>
      <c r="D31" s="17"/>
    </row>
    <row r="32" spans="1:4" x14ac:dyDescent="0.25">
      <c r="A32" s="18" t="s">
        <v>24</v>
      </c>
      <c r="B32" s="19"/>
      <c r="C32" s="19"/>
      <c r="D32" s="20"/>
    </row>
    <row r="33" spans="1:4" x14ac:dyDescent="0.25">
      <c r="A33" s="18"/>
      <c r="B33" s="18"/>
      <c r="C33" s="18"/>
      <c r="D33" s="21"/>
    </row>
    <row r="34" spans="1:4" x14ac:dyDescent="0.25">
      <c r="A34" s="15" t="s">
        <v>25</v>
      </c>
      <c r="B34" s="16"/>
      <c r="C34" s="16"/>
      <c r="D34" s="17"/>
    </row>
    <row r="35" spans="1:4" x14ac:dyDescent="0.25">
      <c r="A35" s="22" t="s">
        <v>26</v>
      </c>
      <c r="B35" s="23"/>
      <c r="C35" s="23"/>
      <c r="D35" s="24"/>
    </row>
    <row r="36" spans="1:4" x14ac:dyDescent="0.25">
      <c r="A36" s="22"/>
      <c r="B36" s="23"/>
      <c r="C36" s="23"/>
      <c r="D36" s="24"/>
    </row>
    <row r="37" spans="1:4" x14ac:dyDescent="0.25">
      <c r="A37" s="15" t="s">
        <v>48</v>
      </c>
      <c r="B37" s="16"/>
      <c r="C37" s="16"/>
      <c r="D37" s="17"/>
    </row>
    <row r="38" spans="1:4" x14ac:dyDescent="0.25">
      <c r="A38" s="22" t="s">
        <v>49</v>
      </c>
      <c r="B38" s="23"/>
      <c r="C38" s="23"/>
      <c r="D38" s="24"/>
    </row>
    <row r="39" spans="1:4" x14ac:dyDescent="0.25">
      <c r="A39" s="25" t="s">
        <v>50</v>
      </c>
      <c r="B39" s="26"/>
      <c r="C39" s="26"/>
      <c r="D39" s="13"/>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c">
    <tabColor rgb="FFFFC000"/>
  </sheetPr>
  <dimension ref="A1:N50"/>
  <sheetViews>
    <sheetView workbookViewId="0">
      <selection activeCell="F32" sqref="F32"/>
    </sheetView>
  </sheetViews>
  <sheetFormatPr baseColWidth="10" defaultColWidth="9.140625" defaultRowHeight="15" x14ac:dyDescent="0.25"/>
  <cols>
    <col min="1" max="1" width="9.7109375" style="3" customWidth="1"/>
    <col min="2" max="3" width="63.28515625" style="7" customWidth="1"/>
    <col min="4" max="4" width="44.42578125" style="7" customWidth="1"/>
    <col min="5" max="5" width="47.5703125" style="7" customWidth="1"/>
    <col min="6" max="6" width="11.140625" style="27" customWidth="1"/>
    <col min="7" max="7" width="8.140625" style="7" customWidth="1"/>
    <col min="8" max="8" width="7.5703125" style="7" bestFit="1" customWidth="1"/>
    <col min="9" max="11" width="10.85546875" style="14" customWidth="1"/>
    <col min="12" max="12" width="9.140625" style="11"/>
    <col min="13" max="13" width="11.7109375" style="11" bestFit="1" customWidth="1"/>
    <col min="14" max="14" width="11.42578125" style="11" customWidth="1"/>
    <col min="15" max="16384" width="9.140625" style="3"/>
  </cols>
  <sheetData>
    <row r="1" spans="1:14" x14ac:dyDescent="0.25">
      <c r="A1" s="39"/>
      <c r="B1" s="30" t="s">
        <v>29</v>
      </c>
      <c r="C1" s="4" t="s">
        <v>30</v>
      </c>
      <c r="D1" s="4" t="s">
        <v>53</v>
      </c>
      <c r="E1" s="4" t="s">
        <v>54</v>
      </c>
      <c r="F1" s="231" t="s">
        <v>160</v>
      </c>
      <c r="G1" s="231"/>
      <c r="H1" s="231"/>
      <c r="I1" s="232" t="s">
        <v>161</v>
      </c>
      <c r="J1" s="232"/>
      <c r="K1" s="232"/>
      <c r="L1" s="233" t="s">
        <v>145</v>
      </c>
      <c r="M1" s="233"/>
      <c r="N1" s="233"/>
    </row>
    <row r="2" spans="1:14" x14ac:dyDescent="0.25">
      <c r="A2" s="39"/>
      <c r="B2" s="5"/>
      <c r="C2" s="5"/>
      <c r="D2" s="5"/>
      <c r="E2" s="5"/>
      <c r="F2" s="31" t="s">
        <v>4</v>
      </c>
      <c r="G2" s="32" t="s">
        <v>6</v>
      </c>
      <c r="H2" s="32" t="s">
        <v>5</v>
      </c>
      <c r="I2" s="33" t="s">
        <v>4</v>
      </c>
      <c r="J2" s="33" t="s">
        <v>6</v>
      </c>
      <c r="K2" s="33" t="s">
        <v>5</v>
      </c>
      <c r="L2" s="34" t="s">
        <v>4</v>
      </c>
      <c r="M2" s="34" t="s">
        <v>6</v>
      </c>
      <c r="N2" s="34" t="s">
        <v>5</v>
      </c>
    </row>
    <row r="3" spans="1:14" ht="75" x14ac:dyDescent="0.25">
      <c r="A3" s="29" t="s">
        <v>31</v>
      </c>
      <c r="B3" s="50" t="s">
        <v>171</v>
      </c>
      <c r="C3" s="50" t="s">
        <v>32</v>
      </c>
      <c r="D3" s="50" t="s">
        <v>55</v>
      </c>
      <c r="E3" s="51" t="s">
        <v>159</v>
      </c>
      <c r="F3" s="237" t="s">
        <v>158</v>
      </c>
      <c r="G3" s="237"/>
      <c r="H3" s="237"/>
      <c r="I3" s="52">
        <f>'ADDITIONAL statistics for SDGs'!B9</f>
        <v>0</v>
      </c>
      <c r="J3" s="53" t="s">
        <v>15</v>
      </c>
      <c r="K3" s="53" t="s">
        <v>15</v>
      </c>
      <c r="L3" s="54" t="e">
        <f>20294/I3</f>
        <v>#DIV/0!</v>
      </c>
      <c r="M3" s="53" t="s">
        <v>15</v>
      </c>
      <c r="N3" s="53" t="s">
        <v>15</v>
      </c>
    </row>
    <row r="4" spans="1:14" ht="45" x14ac:dyDescent="0.25">
      <c r="A4" s="234" t="s">
        <v>169</v>
      </c>
      <c r="B4" s="6" t="s">
        <v>151</v>
      </c>
      <c r="C4" s="9" t="s">
        <v>34</v>
      </c>
      <c r="D4" s="8" t="s">
        <v>58</v>
      </c>
      <c r="E4" s="8" t="s">
        <v>59</v>
      </c>
      <c r="F4" s="35"/>
      <c r="G4" s="35"/>
      <c r="H4" s="35"/>
      <c r="I4" s="35">
        <f>'ADDITIONAL statistics for SDGs'!B6</f>
        <v>0</v>
      </c>
      <c r="J4" s="35">
        <f>'ADDITIONAL statistics for SDGs'!C6</f>
        <v>0</v>
      </c>
      <c r="K4" s="35">
        <f>'ADDITIONAL statistics for SDGs'!D6</f>
        <v>0</v>
      </c>
      <c r="L4" s="38" t="e">
        <f t="shared" ref="L4:N7" si="0">F4/I4</f>
        <v>#DIV/0!</v>
      </c>
      <c r="M4" s="38" t="e">
        <f t="shared" si="0"/>
        <v>#DIV/0!</v>
      </c>
      <c r="N4" s="38" t="e">
        <f t="shared" si="0"/>
        <v>#DIV/0!</v>
      </c>
    </row>
    <row r="5" spans="1:14" ht="30" x14ac:dyDescent="0.25">
      <c r="A5" s="234"/>
      <c r="B5" s="6" t="s">
        <v>152</v>
      </c>
      <c r="C5" s="9" t="s">
        <v>35</v>
      </c>
      <c r="D5" s="8" t="s">
        <v>162</v>
      </c>
      <c r="E5" s="8" t="s">
        <v>60</v>
      </c>
      <c r="F5" s="35"/>
      <c r="G5" s="35"/>
      <c r="H5" s="35"/>
      <c r="I5" s="35">
        <f>'ADDITIONAL statistics for SDGs'!B9</f>
        <v>0</v>
      </c>
      <c r="J5" s="35">
        <f>'ADDITIONAL statistics for SDGs'!C9</f>
        <v>0</v>
      </c>
      <c r="K5" s="35">
        <f>'ADDITIONAL statistics for SDGs'!D9</f>
        <v>0</v>
      </c>
      <c r="L5" s="38" t="e">
        <f t="shared" si="0"/>
        <v>#DIV/0!</v>
      </c>
      <c r="M5" s="38" t="e">
        <f t="shared" si="0"/>
        <v>#DIV/0!</v>
      </c>
      <c r="N5" s="38" t="e">
        <f t="shared" si="0"/>
        <v>#DIV/0!</v>
      </c>
    </row>
    <row r="6" spans="1:14" ht="60" x14ac:dyDescent="0.25">
      <c r="A6" s="234"/>
      <c r="B6" s="5" t="s">
        <v>172</v>
      </c>
      <c r="C6" s="5" t="s">
        <v>36</v>
      </c>
      <c r="D6" s="8" t="s">
        <v>61</v>
      </c>
      <c r="E6" s="8" t="s">
        <v>62</v>
      </c>
      <c r="F6" s="35"/>
      <c r="G6" s="35"/>
      <c r="H6" s="35"/>
      <c r="I6" s="35">
        <f>'ADDITIONAL statistics for SDGs'!B24</f>
        <v>0</v>
      </c>
      <c r="J6" s="35">
        <f>'ADDITIONAL statistics for SDGs'!C24</f>
        <v>0</v>
      </c>
      <c r="K6" s="35">
        <f>'ADDITIONAL statistics for SDGs'!D24</f>
        <v>0</v>
      </c>
      <c r="L6" s="38" t="e">
        <f t="shared" si="0"/>
        <v>#DIV/0!</v>
      </c>
      <c r="M6" s="38" t="e">
        <f t="shared" si="0"/>
        <v>#DIV/0!</v>
      </c>
      <c r="N6" s="38" t="e">
        <f t="shared" si="0"/>
        <v>#DIV/0!</v>
      </c>
    </row>
    <row r="7" spans="1:14" ht="30" x14ac:dyDescent="0.25">
      <c r="A7" s="234"/>
      <c r="B7" s="5" t="s">
        <v>153</v>
      </c>
      <c r="C7" s="6" t="s">
        <v>37</v>
      </c>
      <c r="D7" s="8" t="s">
        <v>63</v>
      </c>
      <c r="E7" s="8" t="s">
        <v>147</v>
      </c>
      <c r="F7" s="35"/>
      <c r="G7" s="35"/>
      <c r="H7" s="35"/>
      <c r="I7" s="35">
        <f>'ADDITIONAL statistics for SDGs'!B21</f>
        <v>0</v>
      </c>
      <c r="J7" s="35">
        <f>'ADDITIONAL statistics for SDGs'!C21</f>
        <v>0</v>
      </c>
      <c r="K7" s="35">
        <f>'ADDITIONAL statistics for SDGs'!D21</f>
        <v>0</v>
      </c>
      <c r="L7" s="38" t="e">
        <f t="shared" si="0"/>
        <v>#DIV/0!</v>
      </c>
      <c r="M7" s="38" t="e">
        <f t="shared" si="0"/>
        <v>#DIV/0!</v>
      </c>
      <c r="N7" s="38" t="e">
        <f t="shared" si="0"/>
        <v>#DIV/0!</v>
      </c>
    </row>
    <row r="8" spans="1:14" ht="60" x14ac:dyDescent="0.25">
      <c r="A8" s="234"/>
      <c r="B8" s="5" t="s">
        <v>173</v>
      </c>
      <c r="C8" s="5" t="s">
        <v>38</v>
      </c>
      <c r="D8" s="8" t="s">
        <v>64</v>
      </c>
      <c r="E8" s="8" t="s">
        <v>65</v>
      </c>
      <c r="F8" s="35"/>
      <c r="G8" s="37"/>
      <c r="H8" s="37"/>
      <c r="I8" s="35">
        <f>'ADDITIONAL statistics for SDGs'!B27</f>
        <v>0</v>
      </c>
      <c r="J8" s="35" t="s">
        <v>15</v>
      </c>
      <c r="K8" s="35">
        <f>'ADDITIONAL statistics for SDGs'!D27</f>
        <v>0</v>
      </c>
      <c r="L8" s="38" t="e">
        <f>F8/I8</f>
        <v>#DIV/0!</v>
      </c>
      <c r="M8" s="38" t="s">
        <v>15</v>
      </c>
      <c r="N8" s="38" t="e">
        <f>H8/K8</f>
        <v>#DIV/0!</v>
      </c>
    </row>
    <row r="9" spans="1:14" ht="30" x14ac:dyDescent="0.25">
      <c r="A9" s="234"/>
      <c r="B9" s="5" t="s">
        <v>154</v>
      </c>
      <c r="C9" s="5" t="s">
        <v>39</v>
      </c>
      <c r="D9" s="8" t="s">
        <v>66</v>
      </c>
      <c r="E9" s="8" t="s">
        <v>67</v>
      </c>
      <c r="F9" s="35"/>
      <c r="G9" s="37"/>
      <c r="H9" s="37"/>
      <c r="I9" s="35">
        <f>'ADDITIONAL statistics for SDGs'!B15</f>
        <v>0</v>
      </c>
      <c r="J9" s="35">
        <f>'ADDITIONAL statistics for SDGs'!C15</f>
        <v>0</v>
      </c>
      <c r="K9" s="35">
        <f>'ADDITIONAL statistics for SDGs'!D15</f>
        <v>0</v>
      </c>
      <c r="L9" s="38" t="e">
        <f>F9/I9</f>
        <v>#DIV/0!</v>
      </c>
      <c r="M9" s="38" t="e">
        <f>G9/J9</f>
        <v>#DIV/0!</v>
      </c>
      <c r="N9" s="38" t="e">
        <f>H9/K9</f>
        <v>#DIV/0!</v>
      </c>
    </row>
    <row r="10" spans="1:14" ht="30" x14ac:dyDescent="0.25">
      <c r="A10" s="234"/>
      <c r="B10" s="5" t="s">
        <v>155</v>
      </c>
      <c r="C10" s="5" t="s">
        <v>40</v>
      </c>
      <c r="D10" s="8" t="s">
        <v>68</v>
      </c>
      <c r="E10" s="8" t="s">
        <v>69</v>
      </c>
      <c r="F10" s="35"/>
      <c r="G10" s="35"/>
      <c r="H10" s="35"/>
      <c r="I10" s="35">
        <f>'ADDITIONAL statistics for SDGs'!B4</f>
        <v>0</v>
      </c>
      <c r="J10" s="35">
        <f>'ADDITIONAL statistics for SDGs'!C4</f>
        <v>0</v>
      </c>
      <c r="K10" s="35">
        <f>'ADDITIONAL statistics for SDGs'!D4</f>
        <v>0</v>
      </c>
      <c r="L10" s="38" t="e">
        <f>F10/I10</f>
        <v>#DIV/0!</v>
      </c>
      <c r="M10" s="38" t="e">
        <f>G10/J10</f>
        <v>#DIV/0!</v>
      </c>
      <c r="N10" s="38" t="e">
        <f>H10/K10</f>
        <v>#DIV/0!</v>
      </c>
    </row>
    <row r="11" spans="1:14" ht="90" x14ac:dyDescent="0.25">
      <c r="A11" s="234"/>
      <c r="B11" s="5" t="s">
        <v>156</v>
      </c>
      <c r="C11" s="5" t="s">
        <v>41</v>
      </c>
      <c r="D11" s="8" t="s">
        <v>70</v>
      </c>
      <c r="E11" s="8" t="s">
        <v>42</v>
      </c>
      <c r="F11" s="35"/>
      <c r="G11" s="35"/>
      <c r="H11" s="35"/>
      <c r="I11" s="35"/>
      <c r="J11" s="35"/>
      <c r="K11" s="35"/>
      <c r="L11" s="38" t="e">
        <f t="shared" ref="L11:L28" si="1">F11/I11</f>
        <v>#DIV/0!</v>
      </c>
      <c r="M11" s="38" t="e">
        <f t="shared" ref="M11:M28" si="2">G11/J11</f>
        <v>#DIV/0!</v>
      </c>
      <c r="N11" s="38" t="e">
        <f t="shared" ref="N11:N28" si="3">H11/K11</f>
        <v>#DIV/0!</v>
      </c>
    </row>
    <row r="12" spans="1:14" ht="60.75" thickBot="1" x14ac:dyDescent="0.3">
      <c r="A12" s="235"/>
      <c r="B12" s="46" t="s">
        <v>157</v>
      </c>
      <c r="C12" s="46" t="s">
        <v>33</v>
      </c>
      <c r="D12" s="47" t="s">
        <v>56</v>
      </c>
      <c r="E12" s="47" t="s">
        <v>57</v>
      </c>
      <c r="F12" s="48"/>
      <c r="G12" s="48"/>
      <c r="H12" s="48"/>
      <c r="I12" s="48">
        <f>'ADDITIONAL statistics for SDGs'!B3</f>
        <v>0</v>
      </c>
      <c r="J12" s="48">
        <f>'ADDITIONAL statistics for SDGs'!C3</f>
        <v>0</v>
      </c>
      <c r="K12" s="48">
        <f>'ADDITIONAL statistics for SDGs'!D3</f>
        <v>0</v>
      </c>
      <c r="L12" s="49" t="e">
        <f>F12/I12</f>
        <v>#DIV/0!</v>
      </c>
      <c r="M12" s="49" t="e">
        <f t="shared" si="2"/>
        <v>#DIV/0!</v>
      </c>
      <c r="N12" s="49" t="e">
        <f t="shared" si="3"/>
        <v>#DIV/0!</v>
      </c>
    </row>
    <row r="13" spans="1:14" ht="15.75" thickTop="1" x14ac:dyDescent="0.25">
      <c r="A13" s="55" t="s">
        <v>43</v>
      </c>
      <c r="B13" s="56"/>
      <c r="C13" s="56"/>
      <c r="D13" s="56"/>
      <c r="E13" s="56"/>
      <c r="F13" s="57"/>
      <c r="G13" s="58"/>
      <c r="H13" s="58"/>
      <c r="I13" s="57"/>
      <c r="J13" s="57"/>
      <c r="K13" s="57"/>
      <c r="L13" s="36"/>
      <c r="M13" s="36"/>
      <c r="N13" s="36"/>
    </row>
    <row r="14" spans="1:14" ht="45" x14ac:dyDescent="0.25">
      <c r="A14" s="234" t="s">
        <v>170</v>
      </c>
      <c r="B14" s="9" t="s">
        <v>71</v>
      </c>
      <c r="C14" s="9" t="s">
        <v>72</v>
      </c>
      <c r="D14" s="9" t="s">
        <v>73</v>
      </c>
      <c r="E14" s="9" t="s">
        <v>74</v>
      </c>
      <c r="F14" s="35"/>
      <c r="G14" s="35"/>
      <c r="H14" s="35"/>
      <c r="I14" s="35">
        <f>'ADDITIONAL statistics for SDGs'!B6</f>
        <v>0</v>
      </c>
      <c r="J14" s="35">
        <f>'ADDITIONAL statistics for SDGs'!C6</f>
        <v>0</v>
      </c>
      <c r="K14" s="35">
        <f>'ADDITIONAL statistics for SDGs'!D6</f>
        <v>0</v>
      </c>
      <c r="L14" s="38" t="e">
        <f t="shared" si="1"/>
        <v>#DIV/0!</v>
      </c>
      <c r="M14" s="38" t="e">
        <f t="shared" si="2"/>
        <v>#DIV/0!</v>
      </c>
      <c r="N14" s="38" t="e">
        <f t="shared" si="3"/>
        <v>#DIV/0!</v>
      </c>
    </row>
    <row r="15" spans="1:14" ht="45" x14ac:dyDescent="0.25">
      <c r="A15" s="234"/>
      <c r="B15" s="9" t="s">
        <v>163</v>
      </c>
      <c r="C15" s="9" t="s">
        <v>75</v>
      </c>
      <c r="D15" s="9" t="s">
        <v>76</v>
      </c>
      <c r="E15" s="9" t="s">
        <v>166</v>
      </c>
      <c r="F15" s="35"/>
      <c r="G15" s="35"/>
      <c r="H15" s="35"/>
      <c r="I15" s="35">
        <f>'ADDITIONAL statistics for SDGs'!B6</f>
        <v>0</v>
      </c>
      <c r="J15" s="35">
        <f>'ADDITIONAL statistics for SDGs'!C6</f>
        <v>0</v>
      </c>
      <c r="K15" s="35">
        <f>'ADDITIONAL statistics for SDGs'!D6</f>
        <v>0</v>
      </c>
      <c r="L15" s="38" t="e">
        <f>F15/I15</f>
        <v>#DIV/0!</v>
      </c>
      <c r="M15" s="38" t="e">
        <f t="shared" si="2"/>
        <v>#DIV/0!</v>
      </c>
      <c r="N15" s="38" t="e">
        <f t="shared" si="3"/>
        <v>#DIV/0!</v>
      </c>
    </row>
    <row r="16" spans="1:14" ht="30" x14ac:dyDescent="0.25">
      <c r="A16" s="234"/>
      <c r="B16" s="9" t="s">
        <v>77</v>
      </c>
      <c r="C16" s="9" t="s">
        <v>78</v>
      </c>
      <c r="D16" s="9" t="s">
        <v>79</v>
      </c>
      <c r="E16" s="8" t="s">
        <v>62</v>
      </c>
      <c r="F16" s="35"/>
      <c r="G16" s="37"/>
      <c r="H16" s="37"/>
      <c r="I16" s="35">
        <f>'ADDITIONAL statistics for SDGs'!B24</f>
        <v>0</v>
      </c>
      <c r="J16" s="35">
        <f>'ADDITIONAL statistics for SDGs'!C24</f>
        <v>0</v>
      </c>
      <c r="K16" s="35">
        <f>'ADDITIONAL statistics for SDGs'!D24</f>
        <v>0</v>
      </c>
      <c r="L16" s="38" t="e">
        <f t="shared" si="1"/>
        <v>#DIV/0!</v>
      </c>
      <c r="M16" s="38" t="e">
        <f t="shared" si="2"/>
        <v>#DIV/0!</v>
      </c>
      <c r="N16" s="38" t="e">
        <f t="shared" si="3"/>
        <v>#DIV/0!</v>
      </c>
    </row>
    <row r="17" spans="1:14" ht="30" x14ac:dyDescent="0.25">
      <c r="A17" s="234"/>
      <c r="B17" s="9" t="s">
        <v>164</v>
      </c>
      <c r="C17" s="9" t="s">
        <v>80</v>
      </c>
      <c r="D17" s="9" t="s">
        <v>81</v>
      </c>
      <c r="E17" s="8" t="s">
        <v>165</v>
      </c>
      <c r="F17" s="35"/>
      <c r="G17" s="35"/>
      <c r="H17" s="35"/>
      <c r="I17" s="35">
        <f>'ADDITIONAL statistics for SDGs'!B24</f>
        <v>0</v>
      </c>
      <c r="J17" s="35">
        <f>'ADDITIONAL statistics for SDGs'!C24</f>
        <v>0</v>
      </c>
      <c r="K17" s="35">
        <f>'ADDITIONAL statistics for SDGs'!D24</f>
        <v>0</v>
      </c>
      <c r="L17" s="38" t="e">
        <f>F17/I17</f>
        <v>#DIV/0!</v>
      </c>
      <c r="M17" s="38" t="e">
        <f t="shared" si="2"/>
        <v>#DIV/0!</v>
      </c>
      <c r="N17" s="38" t="e">
        <f t="shared" si="3"/>
        <v>#DIV/0!</v>
      </c>
    </row>
    <row r="18" spans="1:14" ht="30" x14ac:dyDescent="0.25">
      <c r="A18" s="234"/>
      <c r="B18" s="9" t="s">
        <v>82</v>
      </c>
      <c r="C18" s="9" t="s">
        <v>83</v>
      </c>
      <c r="D18" s="12" t="s">
        <v>84</v>
      </c>
      <c r="E18" s="8" t="s">
        <v>85</v>
      </c>
      <c r="F18" s="35"/>
      <c r="G18" s="37"/>
      <c r="H18" s="37"/>
      <c r="I18" s="41">
        <f>'ADDITIONAL statistics for SDGs'!B12</f>
        <v>0</v>
      </c>
      <c r="J18" s="41">
        <f>'ADDITIONAL statistics for SDGs'!C12</f>
        <v>0</v>
      </c>
      <c r="K18" s="41">
        <f>'ADDITIONAL statistics for SDGs'!D12</f>
        <v>0</v>
      </c>
      <c r="L18" s="38" t="e">
        <f t="shared" si="1"/>
        <v>#DIV/0!</v>
      </c>
      <c r="M18" s="38" t="e">
        <f t="shared" si="2"/>
        <v>#DIV/0!</v>
      </c>
      <c r="N18" s="38" t="e">
        <f t="shared" si="3"/>
        <v>#DIV/0!</v>
      </c>
    </row>
    <row r="19" spans="1:14" ht="30" x14ac:dyDescent="0.25">
      <c r="A19" s="234"/>
      <c r="B19" s="9" t="s">
        <v>86</v>
      </c>
      <c r="C19" s="9" t="s">
        <v>87</v>
      </c>
      <c r="D19" s="12" t="s">
        <v>88</v>
      </c>
      <c r="E19" s="8" t="s">
        <v>85</v>
      </c>
      <c r="F19" s="35"/>
      <c r="G19" s="35"/>
      <c r="H19" s="35"/>
      <c r="I19" s="41">
        <f>'ADDITIONAL statistics for SDGs'!B12</f>
        <v>0</v>
      </c>
      <c r="J19" s="41">
        <f>'ADDITIONAL statistics for SDGs'!C12</f>
        <v>0</v>
      </c>
      <c r="K19" s="41">
        <f>'ADDITIONAL statistics for SDGs'!D12</f>
        <v>0</v>
      </c>
      <c r="L19" s="38" t="e">
        <f t="shared" si="1"/>
        <v>#DIV/0!</v>
      </c>
      <c r="M19" s="38" t="e">
        <f t="shared" si="2"/>
        <v>#DIV/0!</v>
      </c>
      <c r="N19" s="38" t="e">
        <f t="shared" si="3"/>
        <v>#DIV/0!</v>
      </c>
    </row>
    <row r="20" spans="1:14" ht="30" x14ac:dyDescent="0.25">
      <c r="A20" s="234"/>
      <c r="B20" s="9" t="s">
        <v>146</v>
      </c>
      <c r="C20" s="9" t="s">
        <v>149</v>
      </c>
      <c r="D20" s="12" t="s">
        <v>148</v>
      </c>
      <c r="E20" s="8" t="s">
        <v>85</v>
      </c>
      <c r="F20" s="35"/>
      <c r="G20" s="35"/>
      <c r="H20" s="35"/>
      <c r="I20" s="41">
        <f>'ADDITIONAL statistics for SDGs'!B12</f>
        <v>0</v>
      </c>
      <c r="J20" s="41">
        <f>'ADDITIONAL statistics for SDGs'!C12</f>
        <v>0</v>
      </c>
      <c r="K20" s="41">
        <f>'ADDITIONAL statistics for SDGs'!D12</f>
        <v>0</v>
      </c>
      <c r="L20" s="38" t="e">
        <f t="shared" si="1"/>
        <v>#DIV/0!</v>
      </c>
      <c r="M20" s="38" t="e">
        <f t="shared" si="2"/>
        <v>#DIV/0!</v>
      </c>
      <c r="N20" s="38" t="e">
        <f t="shared" si="3"/>
        <v>#DIV/0!</v>
      </c>
    </row>
    <row r="21" spans="1:14" ht="30" x14ac:dyDescent="0.25">
      <c r="A21" s="234"/>
      <c r="B21" s="9" t="s">
        <v>89</v>
      </c>
      <c r="C21" s="9" t="s">
        <v>90</v>
      </c>
      <c r="D21" s="9" t="s">
        <v>91</v>
      </c>
      <c r="E21" s="9" t="s">
        <v>92</v>
      </c>
      <c r="F21" s="35"/>
      <c r="G21" s="37"/>
      <c r="H21" s="37"/>
      <c r="I21" s="35">
        <f>'ADDITIONAL statistics for SDGs'!B21</f>
        <v>0</v>
      </c>
      <c r="J21" s="35">
        <f>'ADDITIONAL statistics for SDGs'!C21</f>
        <v>0</v>
      </c>
      <c r="K21" s="35">
        <f>'ADDITIONAL statistics for SDGs'!D21</f>
        <v>0</v>
      </c>
      <c r="L21" s="38" t="e">
        <f t="shared" si="1"/>
        <v>#DIV/0!</v>
      </c>
      <c r="M21" s="38" t="e">
        <f t="shared" si="2"/>
        <v>#DIV/0!</v>
      </c>
      <c r="N21" s="38" t="e">
        <f t="shared" si="3"/>
        <v>#DIV/0!</v>
      </c>
    </row>
    <row r="22" spans="1:14" ht="30" x14ac:dyDescent="0.25">
      <c r="A22" s="234"/>
      <c r="B22" s="9" t="s">
        <v>93</v>
      </c>
      <c r="C22" s="9" t="s">
        <v>94</v>
      </c>
      <c r="D22" s="9" t="s">
        <v>95</v>
      </c>
      <c r="E22" s="8" t="s">
        <v>150</v>
      </c>
      <c r="F22" s="35"/>
      <c r="G22" s="35"/>
      <c r="H22" s="35"/>
      <c r="I22" s="35">
        <f>'ADDITIONAL statistics for SDGs'!B20</f>
        <v>0</v>
      </c>
      <c r="J22" s="35">
        <f>'ADDITIONAL statistics for SDGs'!C20</f>
        <v>0</v>
      </c>
      <c r="K22" s="35">
        <f>'ADDITIONAL statistics for SDGs'!D20</f>
        <v>0</v>
      </c>
      <c r="L22" s="38" t="e">
        <f t="shared" si="1"/>
        <v>#DIV/0!</v>
      </c>
      <c r="M22" s="38" t="e">
        <f t="shared" si="2"/>
        <v>#DIV/0!</v>
      </c>
      <c r="N22" s="38" t="e">
        <f t="shared" si="3"/>
        <v>#DIV/0!</v>
      </c>
    </row>
    <row r="23" spans="1:14" ht="30" x14ac:dyDescent="0.25">
      <c r="A23" s="234"/>
      <c r="B23" s="9" t="s">
        <v>96</v>
      </c>
      <c r="C23" s="9" t="s">
        <v>97</v>
      </c>
      <c r="D23" s="9" t="s">
        <v>98</v>
      </c>
      <c r="E23" s="9" t="s">
        <v>99</v>
      </c>
      <c r="F23" s="35"/>
      <c r="G23" s="35"/>
      <c r="H23" s="35"/>
      <c r="I23" s="35">
        <f>'ADDITIONAL statistics for SDGs'!B4</f>
        <v>0</v>
      </c>
      <c r="J23" s="35">
        <f>'ADDITIONAL statistics for SDGs'!C4</f>
        <v>0</v>
      </c>
      <c r="K23" s="35">
        <f>'ADDITIONAL statistics for SDGs'!D4</f>
        <v>0</v>
      </c>
      <c r="L23" s="38" t="e">
        <f t="shared" si="1"/>
        <v>#DIV/0!</v>
      </c>
      <c r="M23" s="38" t="e">
        <f t="shared" si="2"/>
        <v>#DIV/0!</v>
      </c>
      <c r="N23" s="38" t="e">
        <f t="shared" si="3"/>
        <v>#DIV/0!</v>
      </c>
    </row>
    <row r="24" spans="1:14" ht="30" x14ac:dyDescent="0.25">
      <c r="A24" s="234"/>
      <c r="B24" s="9" t="s">
        <v>100</v>
      </c>
      <c r="C24" s="9" t="s">
        <v>101</v>
      </c>
      <c r="D24" s="9" t="s">
        <v>98</v>
      </c>
      <c r="E24" s="9" t="s">
        <v>102</v>
      </c>
      <c r="F24" s="35"/>
      <c r="G24" s="35"/>
      <c r="H24" s="35"/>
      <c r="I24" s="35" t="e">
        <f>'ADDITIONAL statistics for SDGs'!B4*#REF!</f>
        <v>#REF!</v>
      </c>
      <c r="J24" s="35" t="e">
        <f>'ADDITIONAL statistics for SDGs'!C4*#REF!</f>
        <v>#REF!</v>
      </c>
      <c r="K24" s="35" t="e">
        <f>'ADDITIONAL statistics for SDGs'!D4*#REF!</f>
        <v>#REF!</v>
      </c>
      <c r="L24" s="38" t="e">
        <f t="shared" si="1"/>
        <v>#REF!</v>
      </c>
      <c r="M24" s="38" t="e">
        <f t="shared" si="2"/>
        <v>#REF!</v>
      </c>
      <c r="N24" s="38" t="e">
        <f t="shared" si="3"/>
        <v>#REF!</v>
      </c>
    </row>
    <row r="25" spans="1:14" ht="30" x14ac:dyDescent="0.25">
      <c r="A25" s="234"/>
      <c r="B25" s="9" t="s">
        <v>103</v>
      </c>
      <c r="C25" s="9" t="s">
        <v>104</v>
      </c>
      <c r="D25" s="9" t="s">
        <v>105</v>
      </c>
      <c r="E25" s="8" t="s">
        <v>57</v>
      </c>
      <c r="F25" s="35"/>
      <c r="G25" s="35"/>
      <c r="H25" s="35"/>
      <c r="I25" s="35">
        <f>'ADDITIONAL statistics for SDGs'!B9</f>
        <v>0</v>
      </c>
      <c r="J25" s="35">
        <f>'ADDITIONAL statistics for SDGs'!C9</f>
        <v>0</v>
      </c>
      <c r="K25" s="35">
        <f>'ADDITIONAL statistics for SDGs'!D9</f>
        <v>0</v>
      </c>
      <c r="L25" s="38" t="e">
        <f t="shared" si="1"/>
        <v>#DIV/0!</v>
      </c>
      <c r="M25" s="38" t="e">
        <f t="shared" si="2"/>
        <v>#DIV/0!</v>
      </c>
      <c r="N25" s="38" t="e">
        <f t="shared" si="3"/>
        <v>#DIV/0!</v>
      </c>
    </row>
    <row r="26" spans="1:14" ht="45" x14ac:dyDescent="0.25">
      <c r="A26" s="234"/>
      <c r="B26" s="9" t="s">
        <v>106</v>
      </c>
      <c r="C26" s="9" t="s">
        <v>107</v>
      </c>
      <c r="D26" s="9" t="s">
        <v>108</v>
      </c>
      <c r="E26" s="9" t="s">
        <v>74</v>
      </c>
      <c r="F26" s="35"/>
      <c r="G26" s="35"/>
      <c r="H26" s="35"/>
      <c r="I26" s="35">
        <f>'ADDITIONAL statistics for SDGs'!B6</f>
        <v>0</v>
      </c>
      <c r="J26" s="35">
        <f>'ADDITIONAL statistics for SDGs'!C6</f>
        <v>0</v>
      </c>
      <c r="K26" s="35">
        <f>'ADDITIONAL statistics for SDGs'!D6</f>
        <v>0</v>
      </c>
      <c r="L26" s="38" t="e">
        <f t="shared" si="1"/>
        <v>#DIV/0!</v>
      </c>
      <c r="M26" s="38" t="e">
        <f t="shared" si="2"/>
        <v>#DIV/0!</v>
      </c>
      <c r="N26" s="38" t="e">
        <f t="shared" si="3"/>
        <v>#DIV/0!</v>
      </c>
    </row>
    <row r="27" spans="1:14" ht="30" x14ac:dyDescent="0.25">
      <c r="A27" s="234"/>
      <c r="B27" s="9" t="s">
        <v>109</v>
      </c>
      <c r="C27" s="9" t="s">
        <v>110</v>
      </c>
      <c r="D27" s="9" t="s">
        <v>111</v>
      </c>
      <c r="E27" s="8" t="s">
        <v>65</v>
      </c>
      <c r="F27" s="35"/>
      <c r="G27" s="37"/>
      <c r="H27" s="37"/>
      <c r="I27" s="35">
        <f>'ADDITIONAL statistics for SDGs'!B27</f>
        <v>0</v>
      </c>
      <c r="J27" s="35">
        <f>'ADDITIONAL statistics for SDGs'!C27</f>
        <v>0</v>
      </c>
      <c r="K27" s="35">
        <f>'ADDITIONAL statistics for SDGs'!D27</f>
        <v>0</v>
      </c>
      <c r="L27" s="38" t="e">
        <f t="shared" si="1"/>
        <v>#DIV/0!</v>
      </c>
      <c r="M27" s="38"/>
      <c r="N27" s="38" t="e">
        <f t="shared" si="3"/>
        <v>#DIV/0!</v>
      </c>
    </row>
    <row r="28" spans="1:14" ht="30.75" thickBot="1" x14ac:dyDescent="0.3">
      <c r="A28" s="235"/>
      <c r="B28" s="62" t="s">
        <v>167</v>
      </c>
      <c r="C28" s="62" t="s">
        <v>112</v>
      </c>
      <c r="D28" s="62" t="s">
        <v>113</v>
      </c>
      <c r="E28" s="47" t="s">
        <v>114</v>
      </c>
      <c r="F28" s="48"/>
      <c r="G28" s="48"/>
      <c r="H28" s="48"/>
      <c r="I28" s="48" t="e">
        <f>#REF!</f>
        <v>#REF!</v>
      </c>
      <c r="J28" s="48" t="e">
        <f>#REF!</f>
        <v>#REF!</v>
      </c>
      <c r="K28" s="48" t="e">
        <f>#REF!</f>
        <v>#REF!</v>
      </c>
      <c r="L28" s="49" t="e">
        <f t="shared" si="1"/>
        <v>#REF!</v>
      </c>
      <c r="M28" s="49" t="e">
        <f t="shared" si="2"/>
        <v>#REF!</v>
      </c>
      <c r="N28" s="49" t="e">
        <f t="shared" si="3"/>
        <v>#REF!</v>
      </c>
    </row>
    <row r="29" spans="1:14" ht="15.75" thickTop="1" x14ac:dyDescent="0.25">
      <c r="A29" s="56"/>
      <c r="B29" s="45"/>
      <c r="C29" s="45"/>
      <c r="D29" s="45"/>
      <c r="E29" s="45"/>
      <c r="F29" s="59"/>
      <c r="G29" s="60"/>
      <c r="H29" s="60"/>
      <c r="I29" s="57"/>
      <c r="J29" s="57"/>
      <c r="K29" s="57"/>
      <c r="L29" s="61"/>
      <c r="M29" s="61"/>
      <c r="N29" s="61"/>
    </row>
    <row r="30" spans="1:14" ht="30" x14ac:dyDescent="0.25">
      <c r="A30" s="234" t="s">
        <v>115</v>
      </c>
      <c r="B30" s="9" t="s">
        <v>116</v>
      </c>
      <c r="C30" s="236" t="s">
        <v>117</v>
      </c>
      <c r="D30" s="9"/>
      <c r="E30" s="9"/>
      <c r="F30" s="42"/>
      <c r="G30" s="43"/>
      <c r="H30" s="43"/>
      <c r="I30" s="40"/>
      <c r="J30" s="40"/>
      <c r="K30" s="40"/>
      <c r="L30" s="44"/>
      <c r="M30" s="44"/>
      <c r="N30" s="44"/>
    </row>
    <row r="31" spans="1:14" x14ac:dyDescent="0.25">
      <c r="A31" s="234"/>
      <c r="B31" s="10" t="s">
        <v>1</v>
      </c>
      <c r="C31" s="236"/>
      <c r="D31" s="9" t="s">
        <v>118</v>
      </c>
      <c r="E31" s="9" t="s">
        <v>119</v>
      </c>
      <c r="F31" s="42"/>
      <c r="G31" s="42"/>
      <c r="H31" s="42"/>
      <c r="I31" s="42">
        <f>'ADDITIONAL statistics for SDGs'!$B$31</f>
        <v>0</v>
      </c>
      <c r="J31" s="42"/>
      <c r="K31" s="42"/>
      <c r="L31" s="44" t="e">
        <f t="shared" ref="L31:L39" si="4">F31/I31</f>
        <v>#DIV/0!</v>
      </c>
      <c r="M31" s="42"/>
      <c r="N31" s="42"/>
    </row>
    <row r="32" spans="1:14" x14ac:dyDescent="0.25">
      <c r="A32" s="234"/>
      <c r="B32" s="10" t="s">
        <v>2</v>
      </c>
      <c r="C32" s="236"/>
      <c r="D32" s="9" t="s">
        <v>120</v>
      </c>
      <c r="E32" s="9" t="s">
        <v>119</v>
      </c>
      <c r="F32" s="42"/>
      <c r="G32" s="42"/>
      <c r="H32" s="42"/>
      <c r="I32" s="42">
        <f>'ADDITIONAL statistics for SDGs'!$B$31</f>
        <v>0</v>
      </c>
      <c r="J32" s="42"/>
      <c r="K32" s="42"/>
      <c r="L32" s="44" t="e">
        <f t="shared" si="4"/>
        <v>#DIV/0!</v>
      </c>
      <c r="M32" s="42"/>
      <c r="N32" s="42"/>
    </row>
    <row r="33" spans="1:14" x14ac:dyDescent="0.25">
      <c r="A33" s="234"/>
      <c r="B33" s="10" t="s">
        <v>8</v>
      </c>
      <c r="C33" s="236"/>
      <c r="D33" s="9" t="s">
        <v>121</v>
      </c>
      <c r="E33" s="9" t="s">
        <v>119</v>
      </c>
      <c r="F33" s="42"/>
      <c r="G33" s="42"/>
      <c r="H33" s="42"/>
      <c r="I33" s="42">
        <f>'ADDITIONAL statistics for SDGs'!$B$31</f>
        <v>0</v>
      </c>
      <c r="J33" s="42"/>
      <c r="K33" s="42"/>
      <c r="L33" s="44" t="e">
        <f t="shared" si="4"/>
        <v>#DIV/0!</v>
      </c>
      <c r="M33" s="42"/>
      <c r="N33" s="42"/>
    </row>
    <row r="34" spans="1:14" x14ac:dyDescent="0.25">
      <c r="A34" s="234"/>
      <c r="B34" s="10" t="s">
        <v>3</v>
      </c>
      <c r="C34" s="236"/>
      <c r="D34" s="9" t="s">
        <v>122</v>
      </c>
      <c r="E34" s="9" t="s">
        <v>119</v>
      </c>
      <c r="F34" s="42"/>
      <c r="G34" s="42"/>
      <c r="H34" s="42"/>
      <c r="I34" s="42">
        <f>'ADDITIONAL statistics for SDGs'!$B$31</f>
        <v>0</v>
      </c>
      <c r="J34" s="42"/>
      <c r="K34" s="42"/>
      <c r="L34" s="44" t="e">
        <f t="shared" si="4"/>
        <v>#DIV/0!</v>
      </c>
      <c r="M34" s="42"/>
      <c r="N34" s="42"/>
    </row>
    <row r="35" spans="1:14" ht="30" x14ac:dyDescent="0.25">
      <c r="A35" s="234"/>
      <c r="B35" s="9" t="s">
        <v>123</v>
      </c>
      <c r="C35" s="238" t="s">
        <v>124</v>
      </c>
      <c r="D35" s="9"/>
      <c r="E35" s="9"/>
      <c r="F35" s="42"/>
      <c r="G35" s="42"/>
      <c r="H35" s="42"/>
      <c r="I35" s="42"/>
      <c r="J35" s="42"/>
      <c r="K35" s="42"/>
      <c r="L35" s="44"/>
      <c r="M35" s="42"/>
      <c r="N35" s="42"/>
    </row>
    <row r="36" spans="1:14" x14ac:dyDescent="0.25">
      <c r="A36" s="234"/>
      <c r="B36" s="10" t="s">
        <v>1</v>
      </c>
      <c r="C36" s="239"/>
      <c r="D36" s="9" t="s">
        <v>125</v>
      </c>
      <c r="E36" s="9" t="s">
        <v>126</v>
      </c>
      <c r="F36" s="42"/>
      <c r="G36" s="43"/>
      <c r="H36" s="43"/>
      <c r="I36" s="43">
        <f>'ADDITIONAL statistics for SDGs'!$B$30</f>
        <v>0</v>
      </c>
      <c r="J36" s="43"/>
      <c r="K36" s="43"/>
      <c r="L36" s="44" t="e">
        <f t="shared" si="4"/>
        <v>#DIV/0!</v>
      </c>
      <c r="M36" s="43"/>
      <c r="N36" s="43"/>
    </row>
    <row r="37" spans="1:14" x14ac:dyDescent="0.25">
      <c r="A37" s="234"/>
      <c r="B37" s="10" t="s">
        <v>2</v>
      </c>
      <c r="C37" s="239"/>
      <c r="D37" s="9" t="s">
        <v>127</v>
      </c>
      <c r="E37" s="9" t="s">
        <v>126</v>
      </c>
      <c r="F37" s="42"/>
      <c r="G37" s="43"/>
      <c r="H37" s="43"/>
      <c r="I37" s="43">
        <f>'ADDITIONAL statistics for SDGs'!B30</f>
        <v>0</v>
      </c>
      <c r="J37" s="43"/>
      <c r="K37" s="43"/>
      <c r="L37" s="44" t="e">
        <f t="shared" si="4"/>
        <v>#DIV/0!</v>
      </c>
      <c r="M37" s="43"/>
      <c r="N37" s="43"/>
    </row>
    <row r="38" spans="1:14" x14ac:dyDescent="0.25">
      <c r="A38" s="234"/>
      <c r="B38" s="10" t="s">
        <v>8</v>
      </c>
      <c r="C38" s="239"/>
      <c r="D38" s="9" t="s">
        <v>128</v>
      </c>
      <c r="E38" s="9" t="s">
        <v>126</v>
      </c>
      <c r="F38" s="42"/>
      <c r="G38" s="43"/>
      <c r="H38" s="43"/>
      <c r="I38" s="43">
        <f>'ADDITIONAL statistics for SDGs'!B30</f>
        <v>0</v>
      </c>
      <c r="J38" s="43"/>
      <c r="K38" s="43"/>
      <c r="L38" s="44" t="e">
        <f t="shared" si="4"/>
        <v>#DIV/0!</v>
      </c>
      <c r="M38" s="43"/>
      <c r="N38" s="43"/>
    </row>
    <row r="39" spans="1:14" x14ac:dyDescent="0.25">
      <c r="A39" s="234"/>
      <c r="B39" s="10" t="s">
        <v>3</v>
      </c>
      <c r="C39" s="239"/>
      <c r="D39" s="9" t="s">
        <v>129</v>
      </c>
      <c r="E39" s="9" t="s">
        <v>126</v>
      </c>
      <c r="F39" s="42"/>
      <c r="G39" s="43"/>
      <c r="H39" s="43"/>
      <c r="I39" s="43">
        <f>'ADDITIONAL statistics for SDGs'!B30</f>
        <v>0</v>
      </c>
      <c r="J39" s="43"/>
      <c r="K39" s="43"/>
      <c r="L39" s="44" t="e">
        <f t="shared" si="4"/>
        <v>#DIV/0!</v>
      </c>
      <c r="M39" s="43"/>
      <c r="N39" s="43"/>
    </row>
    <row r="40" spans="1:14" x14ac:dyDescent="0.25">
      <c r="A40" s="234"/>
      <c r="B40" s="3"/>
      <c r="C40" s="240"/>
      <c r="D40" s="9"/>
      <c r="E40" s="9"/>
      <c r="F40" s="42"/>
      <c r="G40" s="43"/>
      <c r="H40" s="43"/>
      <c r="I40" s="43"/>
      <c r="J40" s="43"/>
      <c r="K40" s="43"/>
      <c r="L40" s="44"/>
      <c r="M40" s="43"/>
      <c r="N40" s="43"/>
    </row>
    <row r="41" spans="1:14" ht="30" x14ac:dyDescent="0.25">
      <c r="A41" s="234"/>
      <c r="B41" s="9" t="s">
        <v>130</v>
      </c>
      <c r="C41" s="236" t="s">
        <v>168</v>
      </c>
      <c r="D41" s="9"/>
      <c r="E41" s="9"/>
      <c r="F41" s="42"/>
      <c r="G41" s="43"/>
      <c r="H41" s="43"/>
      <c r="I41" s="43"/>
      <c r="J41" s="43"/>
      <c r="K41" s="43"/>
      <c r="L41" s="44"/>
      <c r="M41" s="43"/>
      <c r="N41" s="43"/>
    </row>
    <row r="42" spans="1:14" x14ac:dyDescent="0.25">
      <c r="A42" s="234"/>
      <c r="B42" s="10" t="s">
        <v>1</v>
      </c>
      <c r="C42" s="236"/>
      <c r="D42" s="9" t="s">
        <v>131</v>
      </c>
      <c r="E42" s="9" t="s">
        <v>132</v>
      </c>
      <c r="F42" s="42"/>
      <c r="G42" s="43"/>
      <c r="H42" s="43"/>
      <c r="I42" s="43" t="e">
        <f>#REF!</f>
        <v>#REF!</v>
      </c>
      <c r="J42" s="43"/>
      <c r="K42" s="43"/>
      <c r="L42" s="44" t="e">
        <f>F42/I42</f>
        <v>#REF!</v>
      </c>
      <c r="M42" s="43"/>
      <c r="N42" s="43"/>
    </row>
    <row r="43" spans="1:14" ht="30" x14ac:dyDescent="0.25">
      <c r="A43" s="234"/>
      <c r="B43" s="10" t="s">
        <v>2</v>
      </c>
      <c r="C43" s="236"/>
      <c r="D43" s="9" t="s">
        <v>133</v>
      </c>
      <c r="E43" s="9" t="s">
        <v>134</v>
      </c>
      <c r="F43" s="42"/>
      <c r="G43" s="43"/>
      <c r="H43" s="43"/>
      <c r="I43" s="43" t="e">
        <f>#REF!</f>
        <v>#REF!</v>
      </c>
      <c r="J43" s="43"/>
      <c r="K43" s="43"/>
      <c r="L43" s="44" t="e">
        <f t="shared" ref="L43:L50" si="5">F43/I43</f>
        <v>#REF!</v>
      </c>
      <c r="M43" s="43"/>
      <c r="N43" s="43"/>
    </row>
    <row r="44" spans="1:14" ht="30" x14ac:dyDescent="0.25">
      <c r="A44" s="234"/>
      <c r="B44" s="10" t="s">
        <v>13</v>
      </c>
      <c r="C44" s="236"/>
      <c r="D44" s="9" t="s">
        <v>135</v>
      </c>
      <c r="E44" s="9" t="s">
        <v>136</v>
      </c>
      <c r="F44" s="42"/>
      <c r="G44" s="43"/>
      <c r="H44" s="43"/>
      <c r="I44" s="43" t="e">
        <f>#REF!</f>
        <v>#REF!</v>
      </c>
      <c r="J44" s="43"/>
      <c r="K44" s="43"/>
      <c r="L44" s="44" t="e">
        <f t="shared" si="5"/>
        <v>#REF!</v>
      </c>
      <c r="M44" s="43"/>
      <c r="N44" s="43"/>
    </row>
    <row r="45" spans="1:14" ht="30" x14ac:dyDescent="0.25">
      <c r="A45" s="234"/>
      <c r="B45" s="10" t="s">
        <v>137</v>
      </c>
      <c r="C45" s="236"/>
      <c r="D45" s="9" t="s">
        <v>138</v>
      </c>
      <c r="E45" s="9" t="s">
        <v>134</v>
      </c>
      <c r="F45" s="42"/>
      <c r="G45" s="43"/>
      <c r="H45" s="43"/>
      <c r="I45" s="43" t="e">
        <f>#REF!</f>
        <v>#REF!</v>
      </c>
      <c r="J45" s="43"/>
      <c r="K45" s="43"/>
      <c r="L45" s="44" t="e">
        <f t="shared" si="5"/>
        <v>#REF!</v>
      </c>
      <c r="M45" s="43"/>
      <c r="N45" s="43"/>
    </row>
    <row r="46" spans="1:14" ht="30" x14ac:dyDescent="0.25">
      <c r="A46" s="234"/>
      <c r="B46" s="9" t="s">
        <v>139</v>
      </c>
      <c r="C46" s="236" t="s">
        <v>140</v>
      </c>
      <c r="D46" s="9"/>
      <c r="E46" s="9"/>
      <c r="F46" s="42"/>
      <c r="G46" s="43"/>
      <c r="H46" s="43"/>
      <c r="I46" s="43"/>
      <c r="J46" s="43"/>
      <c r="K46" s="43"/>
      <c r="L46" s="44"/>
      <c r="M46" s="43"/>
      <c r="N46" s="43"/>
    </row>
    <row r="47" spans="1:14" x14ac:dyDescent="0.25">
      <c r="A47" s="234"/>
      <c r="B47" s="10" t="s">
        <v>1</v>
      </c>
      <c r="C47" s="236"/>
      <c r="D47" s="9" t="s">
        <v>131</v>
      </c>
      <c r="E47" s="9" t="s">
        <v>141</v>
      </c>
      <c r="F47" s="42"/>
      <c r="G47" s="43"/>
      <c r="H47" s="43"/>
      <c r="I47" s="43" t="e">
        <f>#REF!</f>
        <v>#REF!</v>
      </c>
      <c r="J47" s="43"/>
      <c r="K47" s="43"/>
      <c r="L47" s="44" t="e">
        <f t="shared" si="5"/>
        <v>#REF!</v>
      </c>
      <c r="M47" s="43"/>
      <c r="N47" s="43"/>
    </row>
    <row r="48" spans="1:14" ht="30" x14ac:dyDescent="0.25">
      <c r="A48" s="234"/>
      <c r="B48" s="10" t="s">
        <v>2</v>
      </c>
      <c r="C48" s="236"/>
      <c r="D48" s="9" t="s">
        <v>133</v>
      </c>
      <c r="E48" s="9" t="s">
        <v>142</v>
      </c>
      <c r="F48" s="42"/>
      <c r="G48" s="43"/>
      <c r="H48" s="43"/>
      <c r="I48" s="43" t="e">
        <f>#REF!</f>
        <v>#REF!</v>
      </c>
      <c r="J48" s="43"/>
      <c r="K48" s="43"/>
      <c r="L48" s="44" t="e">
        <f t="shared" si="5"/>
        <v>#REF!</v>
      </c>
      <c r="M48" s="43"/>
      <c r="N48" s="43"/>
    </row>
    <row r="49" spans="1:14" x14ac:dyDescent="0.25">
      <c r="A49" s="234"/>
      <c r="B49" s="10" t="s">
        <v>13</v>
      </c>
      <c r="C49" s="236"/>
      <c r="D49" s="9" t="s">
        <v>135</v>
      </c>
      <c r="E49" s="9" t="s">
        <v>143</v>
      </c>
      <c r="F49" s="42"/>
      <c r="G49" s="43"/>
      <c r="H49" s="43"/>
      <c r="I49" s="43" t="e">
        <f>#REF!</f>
        <v>#REF!</v>
      </c>
      <c r="J49" s="43"/>
      <c r="K49" s="43"/>
      <c r="L49" s="44" t="e">
        <f t="shared" si="5"/>
        <v>#REF!</v>
      </c>
      <c r="M49" s="43"/>
      <c r="N49" s="43"/>
    </row>
    <row r="50" spans="1:14" ht="30" x14ac:dyDescent="0.25">
      <c r="A50" s="234"/>
      <c r="B50" s="10" t="s">
        <v>137</v>
      </c>
      <c r="C50" s="236"/>
      <c r="D50" s="9" t="s">
        <v>138</v>
      </c>
      <c r="E50" s="9" t="s">
        <v>144</v>
      </c>
      <c r="F50" s="42"/>
      <c r="G50" s="43"/>
      <c r="H50" s="43"/>
      <c r="I50" s="43" t="e">
        <f>#REF!</f>
        <v>#REF!</v>
      </c>
      <c r="J50" s="43"/>
      <c r="K50" s="43"/>
      <c r="L50" s="44" t="e">
        <f t="shared" si="5"/>
        <v>#REF!</v>
      </c>
      <c r="M50" s="43"/>
      <c r="N50" s="4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36</vt:i4>
      </vt:variant>
      <vt:variant>
        <vt:lpstr>Plages nommées</vt:lpstr>
      </vt:variant>
      <vt:variant>
        <vt:i4>2</vt:i4>
      </vt:variant>
    </vt:vector>
  </HeadingPairs>
  <TitlesOfParts>
    <vt:vector size="38" baseType="lpstr">
      <vt:lpstr>INSTRUCTIONS</vt:lpstr>
      <vt:lpstr>Inventaire des régimes</vt:lpstr>
      <vt:lpstr>CNSAP Régime de base</vt:lpstr>
      <vt:lpstr>Reforme du transfert</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INSTRUCTIONS!Zone_d_impression</vt:lpstr>
      <vt:lpstr>'Inventaire des régimes'!Zone_d_impression</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Joseph MPANYA KANGODIE</cp:lastModifiedBy>
  <cp:lastPrinted>2023-11-14T08:04:18Z</cp:lastPrinted>
  <dcterms:created xsi:type="dcterms:W3CDTF">2018-04-19T13:37:25Z</dcterms:created>
  <dcterms:modified xsi:type="dcterms:W3CDTF">2024-01-18T15:17:46Z</dcterms:modified>
</cp:coreProperties>
</file>