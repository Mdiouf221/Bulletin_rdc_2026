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En cours/MESP/"/>
    </mc:Choice>
  </mc:AlternateContent>
  <xr:revisionPtr revIDLastSave="5" documentId="8_{D83EE332-66AF-4991-954D-FB57CAB42179}" xr6:coauthVersionLast="47" xr6:coauthVersionMax="47" xr10:uidLastSave="{A080C1D8-5694-40B3-9631-1AEF361C200A}"/>
  <bookViews>
    <workbookView xWindow="-28920" yWindow="-4620"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15"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<sst xmlns="http://schemas.openxmlformats.org/spreadsheetml/2006/main" count="3101" uniqueCount="538">
  <si>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</si>
  <si>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</si>
  <si>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</si>
  <si>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</si>
  <si>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</si>
  <si>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</si>
  <si>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</si>
  <si>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</si>
  <si>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</si>
  <si>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</si>
  <si>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</si>
  <si>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</si>
  <si>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</si>
  <si>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</si>
  <si>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</si>
  <si>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</si>
  <si>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</si>
  <si>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</si>
  <si>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</si>
  <si>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</si>
  <si>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</si>
  <si>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</si>
  <si>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</si>
  <si>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</si>
  <si>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</si>
  <si>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</si>
  <si>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</si>
  <si>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</si>
  <si>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</si>
  <si>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</si>
  <si>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</si>
  <si>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</si>
  <si>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</si>
  <si>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</si>
  <si>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</si>
  <si>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</si>
  <si>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</si>
  <si>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</si>
  <si>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</si>
  <si>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</si>
  <si>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</si>
  <si>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</si>
  <si>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</si>
  <si>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</si>
  <si>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</si>
  <si>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</si>
  <si>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</si>
  <si>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</si>
  <si>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</si>
  <si>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</si>
  <si>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</si>
  <si>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</si>
  <si>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</si>
  <si>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</si>
  <si>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</si>
  <si>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</si>
  <si>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</si>
  <si>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</si>
  <si>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</si>
  <si>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</si>
  <si>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</si>
  <si>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</si>
  <si>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</si>
  <si>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</si>
  <si>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</si>
  <si>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</si>
  <si>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</si>
  <si>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</si>
  <si>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</si>
  <si>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</si>
  <si>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</si>
  <si>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</si>
  <si>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</si>
  <si>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</si>
  <si>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</si>
  <si>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</si>
  <si>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</si>
  <si>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</si>
  <si>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</si>
  <si>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</si>
  <si>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</si>
  <si>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</si>
  <si>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</si>
  <si>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</si>
  <si>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</si>
  <si>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</si>
  <si>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</si>
  <si>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</si>
  <si>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</si>
  <si>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</si>
  <si>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</si>
  <si>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</si>
  <si>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</si>
  <si>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</si>
  <si>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</si>
  <si>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</si>
  <si>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</si>
  <si>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</si>
  <si>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</si>
  <si>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</si>
  <si>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</si>
  <si>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</si>
  <si>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</si>
  <si>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</si>
  <si>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</si>
  <si>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</si>
  <si>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</si>
  <si>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</si>
  <si>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</si>
  <si>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</si>
  <si>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</si>
  <si>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</si>
  <si>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</si>
  <si>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</si>
  <si>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</si>
  <si>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</si>
  <si>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</si>
  <si>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</si>
  <si>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</si>
  <si>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</si>
  <si>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</si>
  <si>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</si>
  <si>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</si>
  <si>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</si>
  <si>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</si>
  <si>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</si>
  <si>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</si>
  <si>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</si>
  <si>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</si>
  <si>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</si>
  <si>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</si>
  <si>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</si>
  <si>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</si>
  <si>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</si>
  <si>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</si>
  <si>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</si>
  <si>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</si>
  <si>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</si>
  <si>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</si>
  <si>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</si>
  <si>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</si>
  <si>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</si>
  <si>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</si>
  <si>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</si>
  <si>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</si>
  <si>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</si>
  <si>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</si>
  <si>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</si>
  <si>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</si>
  <si>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</si>
  <si>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</si>
  <si>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</si>
  <si>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</si>
  <si>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</si>
  <si>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</si>
  <si>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</si>
  <si>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</si>
  <si>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</si>
  <si>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</si>
  <si>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</si>
  <si>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</si>
  <si>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</si>
  <si>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</si>
  <si>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</si>
  <si>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</si>
  <si>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</si>
  <si>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</si>
  <si>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</si>
  <si>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</si>
  <si>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</si>
  <si>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</si>
  <si>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</si>
  <si>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</si>
  <si>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</si>
  <si>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</si>
  <si>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</si>
  <si>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</si>
  <si>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</si>
  <si>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</si>
  <si>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</si>
  <si>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</si>
  <si>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</si>
  <si>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</si>
  <si>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</si>
  <si>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</si>
  <si>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</si>
  <si>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</si>
  <si>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</si>
  <si>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</si>
  <si>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</si>
  <si>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</si>
  <si>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</si>
  <si>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</si>
  <si>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</si>
  <si>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</si>
  <si>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</si>
  <si>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</si>
  <si>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</si>
  <si>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</si>
  <si>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</si>
  <si>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</si>
  <si>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</si>
  <si>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</si>
  <si>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</si>
  <si>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</si>
  <si>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</si>
  <si>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</si>
  <si>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</si>
  <si>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</si>
  <si>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</si>
  <si>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</si>
  <si>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</si>
  <si>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</si>
  <si>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</si>
  <si>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</si>
  <si>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</si>
  <si>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</si>
  <si>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</si>
  <si>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</si>
  <si>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</si>
  <si>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</si>
  <si>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</si>
  <si>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</si>
  <si>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</si>
  <si>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</si>
  <si>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</si>
  <si>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</si>
  <si>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</si>
  <si>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</si>
  <si>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</si>
  <si>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</si>
  <si>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</si>
  <si>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</si>
  <si>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</si>
  <si>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</si>
  <si>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</si>
  <si>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</si>
  <si>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</si>
  <si>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</si>
  <si>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</si>
  <si>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</si>
  <si>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</si>
  <si>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</si>
  <si>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</si>
  <si>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</si>
  <si>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</si>
  <si>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</si>
  <si>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</si>
  <si>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</si>
  <si>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</si>
  <si>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</si>
  <si>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</si>
  <si>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</si>
  <si>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</si>
  <si>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</si>
  <si>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</si>
  <si>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</si>
  <si>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</si>
  <si>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</si>
  <si>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</si>
  <si>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</si>
  <si>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</si>
  <si>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</si>
  <si>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</si>
  <si>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</si>
  <si>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</si>
  <si>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</si>
  <si>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</si>
  <si>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</si>
  <si>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</si>
  <si>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</si>
  <si>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</si>
  <si>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</si>
  <si>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</si>
  <si>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</si>
  <si>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</si>
  <si>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</si>
  <si>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</si>
  <si>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</si>
  <si>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</si>
  <si>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</si>
  <si>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</si>
  <si>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</si>
  <si>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</si>
  <si>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</si>
  <si>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</si>
  <si>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</si>
  <si>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</si>
  <si>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</si>
  <si>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</si>
  <si>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</si>
  <si>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</si>
  <si>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</si>
  <si>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</si>
  <si>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</si>
  <si>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</si>
  <si>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</si>
  <si>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</si>
  <si>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</si>
  <si>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</si>
  <si>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</si>
  <si>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</si>
  <si>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</si>
  <si>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</si>
  <si>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</si>
  <si>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</si>
  <si>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</si>
  <si>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</si>
  <si>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</si>
  <si>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</si>
  <si>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</si>
  <si>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</si>
  <si>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</si>
  <si>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</si>
  <si>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</si>
  <si>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</si>
  <si>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</si>
  <si>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</si>
  <si>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</si>
  <si>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</si>
  <si>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</si>
  <si>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</si>
  <si>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</si>
  <si>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</si>
  <si>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</si>
  <si>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</si>
  <si>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</si>
  <si>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</si>
  <si>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</si>
  <si>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</si>
  <si>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</si>
  <si>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</si>
  <si>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</si>
  <si>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</si>
  <si>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</si>
  <si>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</si>
  <si>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</si>
  <si>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</si>
  <si>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</si>
  <si>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</si>
  <si>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</si>
  <si>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</si>
  <si>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</si>
  <si>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</si>
  <si>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</si>
  <si>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</si>
  <si>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</si>
  <si>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</si>
  <si>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</si>
  <si>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</si>
  <si>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</si>
  <si>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</si>
  <si>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</si>
  <si>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</si>
  <si>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</si>
  <si>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</si>
  <si>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</si>
  <si>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</si>
  <si>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</si>
  <si>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</si>
  <si>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</si>
  <si>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</si>
  <si>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</si>
  <si>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</si>
  <si>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</si>
  <si>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</si>
  <si>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</si>
  <si>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</si>
  <si>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</si>
  <si>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</si>
  <si>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</si>
  <si>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</si>
  <si>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</si>
  <si>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</si>
  <si>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</si>
  <si>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</si>
  <si>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</si>
  <si>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</si>
  <si>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</si>
  <si>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</si>
  <si>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</si>
  <si>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</si>
  <si>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</si>
  <si>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</si>
  <si>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</si>
  <si>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</si>
  <si>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</si>
  <si>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</si>
  <si>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</si>
  <si>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</si>
  <si>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</si>
  <si>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</si>
  <si>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</si>
  <si>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</si>
  <si>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</si>
  <si>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</si>
  <si>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</si>
  <si>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</si>
  <si>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</si>
  <si>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</si>
  <si>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</si>
  <si>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</si>
  <si>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</si>
  <si>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</si>
  <si>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</si>
  <si>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</si>
  <si>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</si>
  <si>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</si>
  <si>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</si>
  <si>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</si>
  <si>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</si>
  <si>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</si>
  <si>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</si>
  <si>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</si>
  <si>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</si>
  <si>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</si>
  <si>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</si>
  <si>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</si>
  <si>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</si>
  <si>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</si>
  <si>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</si>
  <si>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</si>
  <si>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</si>
  <si>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</si>
  <si>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</si>
  <si>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</si>
  <si>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</si>
  <si>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</si>
  <si>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</si>
  <si>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</si>
  <si>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</si>
  <si>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</si>
  <si>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</si>
  <si>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</si>
  <si>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</si>
  <si>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</si>
  <si>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</si>
  <si>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</si>
  <si>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</si>
  <si>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</si>
  <si>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</si>
  <si>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</si>
  <si>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</si>
  <si>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</si>
  <si>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</si>
  <si>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</si>
  <si>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</si>
  <si>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</si>
  <si>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</si>
  <si>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</si>
  <si>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</si>
  <si>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</si>
  <si>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</si>
  <si>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</si>
  <si>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</si>
  <si>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</si>
  <si>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</si>
  <si>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</si>
  <si>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</si>
  <si>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</si>
  <si>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</si>
  <si>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</si>
  <si>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</si>
  <si>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</si>
  <si>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</si>
  <si>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</si>
  <si>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</si>
  <si>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</si>
  <si>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</si>
  <si>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</si>
  <si>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</si>
  <si>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</si>
  <si>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</si>
  <si>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</si>
  <si>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</si>
  <si>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</si>
  <si>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</si>
  <si>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</si>
  <si>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</si>
  <si>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</si>
  <si>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</si>
  <si>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</si>
  <si>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</si>
  <si>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</si>
  <si>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</si>
  <si>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</si>
  <si>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</si>
  <si>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</si>
  <si>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</si>
  <si>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</si>
  <si>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</si>
  <si>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</si>
  <si>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</si>
  <si>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</si>
  <si>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</si>
  <si>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</si>
  <si>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</si>
  <si>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</si>
  <si>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</si>
  <si>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</si>
  <si>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</si>
  <si>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</si>
  <si>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</si>
  <si>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</si>
  <si>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</si>
  <si>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</si>
  <si>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</si>
  <si>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</si>
  <si>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</si>
  <si>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</si>
  <si>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</si>
  <si>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</si>
  <si>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</si>
  <si>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</si>
  <si>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</si>
  <si>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</si>
  <si>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</si>
  <si>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</si>
  <si>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</si>
  <si>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</si>
  <si>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</si>
  <si>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</si>
  <si>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</si>
  <si>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Pension de retraite contributive</t>
  </si>
  <si>
    <t>Parlementaires, anciens parlementaires et ayants droit éligibles selon la loi</t>
  </si>
  <si>
    <t>Pension de retraite des anciens parlementaires non cotisants prise en charge par le Trésor public</t>
  </si>
  <si>
    <t>Pension de réversion (rente viagère du conjoint survivant)</t>
  </si>
  <si>
    <t>Parlementaires en fonction, parlementaires honoraires, conjoints et enfants bénéficiaires conformément à la législation et à la réglementation du SESOPA</t>
  </si>
  <si>
    <t>Le régime couvre les prestations servies aux  survivants et ayants droit des parlementaires conformément à la législation et à la réglementation du SESOPA</t>
  </si>
  <si>
    <t>Le régime couvre les prestations servies aux parlementaires victimes d'accidents ou de maladies imputables à l'exercice du mandat ainsi qu'à leurs ayants droit conformément à la législation en vigueur</t>
  </si>
  <si>
    <t>Le régime couvre les prestations liées à la grossesse, à l'accouchement, au congé de maternité et aux soins postnataux des parlementaires bénéficiaires ou leurs conjointes conformément à la législation et à la réglementation du SESOPA</t>
  </si>
  <si>
    <t>Lois SESOPA de 1988,2012, 2018 et 2023 ainsi que les règlements intérieurs de l'Assemblée nationale et du SESOPA</t>
  </si>
  <si>
    <t>Nom du régime 2</t>
  </si>
  <si>
    <t>Nom du régime 3</t>
  </si>
  <si>
    <t>Nom du régime 4</t>
  </si>
  <si>
    <t>Nom du régime 5</t>
  </si>
  <si>
    <t>MESP</t>
  </si>
  <si>
    <t xml:space="preserve">Mutuelle des Enseignants de l'Enseignement Primaire, Secondaire et Technique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</si>
</sst>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7">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7">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63" dataDxfId="62" tableBorderDxfId="61">
  <autoFilter ref="A1:A4" xr:uid="{00000000-0009-0000-0100-000001000000}"/>
  <tableColumns count="1">
    <tableColumn id="1" xr3:uid="{00000000-0010-0000-0000-000001000000}" name="LIST_CNon" dataDxfId="6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59" dataDxfId="58">
  <autoFilter ref="B1:B13" xr:uid="{00000000-0009-0000-0100-000002000000}"/>
  <tableColumns count="1">
    <tableColumn id="1" xr3:uid="{00000000-0010-0000-0100-000001000000}" name="LIST_Func" dataDxfId="57"/>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56" dataDxfId="55">
  <autoFilter ref="C1:C13" xr:uid="{00000000-0009-0000-0100-000003000000}"/>
  <tableColumns count="1">
    <tableColumn id="1" xr3:uid="{00000000-0010-0000-0200-000001000000}" name="LIST_PopGrp" dataDxfId="5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53" dataDxfId="52">
  <autoFilter ref="D1:D5" xr:uid="{00000000-0009-0000-0100-000004000000}"/>
  <tableColumns count="1">
    <tableColumn id="1" xr3:uid="{00000000-0010-0000-0300-000001000000}" name="LIST_AgrGrp" dataDxfId="51"/>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50" dataDxfId="49">
  <autoFilter ref="E1:E4" xr:uid="{00000000-0009-0000-0100-000005000000}"/>
  <tableColumns count="1">
    <tableColumn id="1" xr3:uid="{00000000-0010-0000-0400-000001000000}" name="LIST_Area" dataDxfId="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47" dataDxfId="46">
  <autoFilter ref="F1:F4" xr:uid="{00000000-0009-0000-0100-000006000000}"/>
  <tableColumns count="1">
    <tableColumn id="1" xr3:uid="{00000000-0010-0000-0500-000001000000}" name="List_MVol" dataDxfId="45"/>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44" dataDxfId="43">
  <autoFilter ref="G1:G3" xr:uid="{00000000-0009-0000-0100-000007000000}"/>
  <tableColumns count="1">
    <tableColumn id="1" xr3:uid="{00000000-0010-0000-0600-000001000000}" name="LIST_CKnd" dataDxfId="4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41" dataDxfId="40">
  <autoFilter ref="H1:H4" xr:uid="{00000000-0009-0000-0100-000008000000}"/>
  <tableColumns count="1">
    <tableColumn id="1" xr3:uid="{00000000-0010-0000-0700-000001000000}" name="LIST_Test" dataDxfId="39"/>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38" dataDxfId="37">
  <autoFilter ref="I1:I3" xr:uid="{00000000-0009-0000-0100-000009000000}"/>
  <tableColumns count="1">
    <tableColumn id="1" xr3:uid="{00000000-0010-0000-0800-000001000000}" name="LIST_Per" dataDxfId="36"/>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35" dataDxfId="34">
  <autoFilter ref="J1:J3" xr:uid="{00000000-0009-0000-0100-00000A000000}"/>
  <tableColumns count="1">
    <tableColumn id="1" xr3:uid="{00000000-0010-0000-0900-000001000000}" name="LIST_Con" dataDxfId="33"/>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32" dataDxfId="31">
  <autoFilter ref="K1:K3" xr:uid="{00000000-0009-0000-0100-00000B000000}"/>
  <tableColumns count="1">
    <tableColumn id="1" xr3:uid="{00000000-0010-0000-0A00-000001000000}" name="LIST_PPrv" dataDxfId="30"/>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29" dataDxfId="28">
  <autoFilter ref="L1:L4" xr:uid="{00000000-0009-0000-0100-00000C000000}"/>
  <tableColumns count="1">
    <tableColumn id="1" xr3:uid="{00000000-0010-0000-0B00-000001000000}" name="LIST_LSta" dataDxfId="27"/>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26" dataDxfId="25">
  <autoFilter ref="M1:M5" xr:uid="{00000000-0009-0000-0100-00000D000000}"/>
  <tableColumns count="1">
    <tableColumn id="1" xr3:uid="{00000000-0010-0000-0C00-000001000000}" name="LIST_Cuni" dataDxfId="2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23" dataDxfId="22">
  <autoFilter ref="N1:N3" xr:uid="{00000000-0009-0000-0100-00000E000000}"/>
  <tableColumns count="1">
    <tableColumn id="1" xr3:uid="{00000000-0010-0000-0D00-000001000000}" name="LIST_X" dataDxfId="21"/>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0" dataDxfId="19">
  <autoFilter ref="O1:O12" xr:uid="{00000000-0009-0000-0100-00000F000000}"/>
  <tableColumns count="1">
    <tableColumn id="1" xr3:uid="{00000000-0010-0000-0E00-000001000000}" name="LIST_TPro" dataDxfId="1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workbookViewId="0">
      <pane xSplit="2" ySplit="5" topLeftCell="E6" activePane="bottomRight" state="frozen"/>
      <selection pane="topRight" activeCell="C1" sqref="C1"/>
      <selection pane="bottomLeft" activeCell="A6" sqref="A6"/>
      <selection pane="bottomRight" activeCell="AA7" sqref="AA7"/>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30" t="s">
        <v>516</v>
      </c>
      <c r="F1" s="230"/>
      <c r="G1" s="230"/>
      <c r="H1" s="230"/>
      <c r="I1" s="230"/>
      <c r="J1" s="230"/>
      <c r="K1" s="230"/>
      <c r="L1" s="230"/>
      <c r="M1" s="230"/>
      <c r="N1" s="230"/>
      <c r="O1" s="230"/>
      <c r="P1" s="230"/>
      <c r="Q1" s="230"/>
      <c r="R1" s="230"/>
      <c r="S1" s="230"/>
      <c r="T1" s="230"/>
      <c r="U1" s="230"/>
      <c r="V1" s="230"/>
      <c r="W1" s="66"/>
      <c r="X1" s="66"/>
      <c r="Y1" s="66"/>
      <c r="Z1" s="66"/>
      <c r="AA1" s="66"/>
      <c r="AB1" s="66"/>
      <c r="AC1" s="59"/>
      <c r="AD1" s="59"/>
      <c r="AE1" s="59"/>
      <c r="AF1" s="80"/>
      <c r="AG1" s="59"/>
      <c r="AH1" s="59"/>
      <c r="AI1" s="59"/>
      <c r="AJ1" s="59"/>
    </row>
    <row r="2" spans="1:37" x14ac:dyDescent="0.3">
      <c r="A2" s="76" t="s">
        <v>214</v>
      </c>
      <c r="B2" s="151">
        <v>2023</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31" t="s">
        <v>218</v>
      </c>
      <c r="F4" s="231" t="s">
        <v>219</v>
      </c>
      <c r="G4" s="231" t="s">
        <v>220</v>
      </c>
      <c r="H4" s="231" t="s">
        <v>221</v>
      </c>
      <c r="I4" s="231" t="s">
        <v>222</v>
      </c>
      <c r="J4" s="231" t="s">
        <v>223</v>
      </c>
      <c r="K4" s="231" t="s">
        <v>224</v>
      </c>
      <c r="L4" s="231" t="s">
        <v>225</v>
      </c>
      <c r="M4" s="231" t="s">
        <v>226</v>
      </c>
      <c r="N4" s="231" t="s">
        <v>227</v>
      </c>
      <c r="O4" s="231" t="s">
        <v>228</v>
      </c>
      <c r="P4" s="231" t="s">
        <v>229</v>
      </c>
      <c r="Q4" s="231" t="s">
        <v>230</v>
      </c>
      <c r="R4" s="231" t="s">
        <v>231</v>
      </c>
      <c r="S4" s="231" t="s">
        <v>232</v>
      </c>
      <c r="T4" s="231" t="s">
        <v>233</v>
      </c>
      <c r="U4" s="231" t="s">
        <v>234</v>
      </c>
      <c r="V4" s="141" t="s">
        <v>235</v>
      </c>
      <c r="W4" s="142" t="s">
        <v>236</v>
      </c>
      <c r="X4" s="221" t="s">
        <v>237</v>
      </c>
      <c r="Y4" s="222"/>
      <c r="Z4" s="223"/>
      <c r="AA4" s="227" t="s">
        <v>327</v>
      </c>
      <c r="AB4" s="228"/>
      <c r="AC4" s="229"/>
      <c r="AD4" s="142" t="s">
        <v>238</v>
      </c>
      <c r="AE4" s="142" t="s">
        <v>239</v>
      </c>
      <c r="AF4" s="142" t="s">
        <v>240</v>
      </c>
      <c r="AG4" s="141" t="s">
        <v>241</v>
      </c>
      <c r="AH4" s="141" t="s">
        <v>242</v>
      </c>
      <c r="AI4" s="141" t="s">
        <v>243</v>
      </c>
      <c r="AJ4" s="140" t="s">
        <v>244</v>
      </c>
    </row>
    <row r="5" spans="1:37" ht="12.75" customHeight="1" x14ac:dyDescent="0.3">
      <c r="A5" s="143"/>
      <c r="B5" s="144"/>
      <c r="C5" s="145"/>
      <c r="D5" s="146"/>
      <c r="E5" s="232"/>
      <c r="F5" s="232"/>
      <c r="G5" s="232"/>
      <c r="H5" s="232"/>
      <c r="I5" s="232"/>
      <c r="J5" s="232"/>
      <c r="K5" s="232"/>
      <c r="L5" s="232"/>
      <c r="M5" s="232"/>
      <c r="N5" s="232"/>
      <c r="O5" s="232"/>
      <c r="P5" s="232"/>
      <c r="Q5" s="232"/>
      <c r="R5" s="232"/>
      <c r="S5" s="232"/>
      <c r="T5" s="232"/>
      <c r="U5" s="232"/>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41.4" x14ac:dyDescent="0.3">
      <c r="A6" s="171" t="s">
        <v>249</v>
      </c>
      <c r="B6" s="173" t="s">
        <v>537</v>
      </c>
      <c r="C6" s="173" t="s">
        <v>537</v>
      </c>
      <c r="D6" s="174" t="s">
        <v>536</v>
      </c>
      <c r="E6" s="174"/>
      <c r="F6" s="174"/>
      <c r="G6" s="174"/>
      <c r="H6" s="174"/>
      <c r="I6" s="174"/>
      <c r="J6" s="174"/>
      <c r="K6" s="174"/>
      <c r="L6" s="174"/>
      <c r="M6" s="174"/>
      <c r="N6" s="174"/>
      <c r="O6" s="174" t="s">
        <v>10</v>
      </c>
      <c r="P6" s="174"/>
      <c r="Q6" s="174"/>
      <c r="R6" s="174"/>
      <c r="S6" s="174"/>
      <c r="T6" s="174"/>
      <c r="U6" s="174"/>
      <c r="V6" s="174" t="s">
        <v>398</v>
      </c>
      <c r="W6" s="174" t="s">
        <v>424</v>
      </c>
      <c r="X6" s="182">
        <v>87019</v>
      </c>
      <c r="Y6" s="182"/>
      <c r="Z6" s="182"/>
      <c r="AA6" s="182">
        <v>176471</v>
      </c>
      <c r="AB6" s="182"/>
      <c r="AC6" s="182"/>
      <c r="AD6" s="174" t="s">
        <v>435</v>
      </c>
      <c r="AE6" s="174" t="s">
        <v>438</v>
      </c>
      <c r="AF6" s="174" t="s">
        <v>453</v>
      </c>
      <c r="AG6" s="185"/>
      <c r="AH6" s="185"/>
      <c r="AI6" s="185"/>
      <c r="AJ6" s="175"/>
      <c r="AK6" s="81"/>
    </row>
    <row r="7" spans="1:37" s="95" customFormat="1" x14ac:dyDescent="0.3">
      <c r="A7" s="172" t="s">
        <v>250</v>
      </c>
      <c r="B7" s="176" t="s">
        <v>532</v>
      </c>
      <c r="C7" s="176"/>
      <c r="D7" s="177"/>
      <c r="E7" s="177"/>
      <c r="F7" s="177"/>
      <c r="G7" s="177"/>
      <c r="H7" s="177"/>
      <c r="I7" s="177"/>
      <c r="J7" s="177"/>
      <c r="K7" s="177"/>
      <c r="L7" s="177"/>
      <c r="M7" s="177"/>
      <c r="N7" s="177"/>
      <c r="O7" s="177"/>
      <c r="P7" s="177"/>
      <c r="Q7" s="177"/>
      <c r="R7" s="177"/>
      <c r="S7" s="177"/>
      <c r="T7" s="177"/>
      <c r="U7" s="177"/>
      <c r="V7" s="177"/>
      <c r="W7" s="177"/>
      <c r="X7" s="183"/>
      <c r="Y7" s="183"/>
      <c r="Z7" s="183"/>
      <c r="AA7" s="183"/>
      <c r="AB7" s="183"/>
      <c r="AC7" s="183"/>
      <c r="AD7" s="177"/>
      <c r="AE7" s="177"/>
      <c r="AF7" s="177"/>
      <c r="AG7" s="186"/>
      <c r="AH7" s="186"/>
      <c r="AI7" s="186"/>
      <c r="AJ7" s="178"/>
      <c r="AK7" s="81"/>
    </row>
    <row r="8" spans="1:37" s="81" customFormat="1" x14ac:dyDescent="0.3">
      <c r="A8" s="171" t="s">
        <v>251</v>
      </c>
      <c r="B8" s="173" t="s">
        <v>533</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174"/>
      <c r="AE8" s="174"/>
      <c r="AF8" s="174"/>
      <c r="AG8" s="185"/>
      <c r="AH8" s="185"/>
      <c r="AI8" s="185"/>
      <c r="AJ8" s="175"/>
    </row>
    <row r="9" spans="1:37" s="95" customFormat="1" x14ac:dyDescent="0.3">
      <c r="A9" s="172" t="s">
        <v>252</v>
      </c>
      <c r="B9" s="176" t="s">
        <v>534</v>
      </c>
      <c r="C9" s="176"/>
      <c r="D9" s="177"/>
      <c r="E9" s="177"/>
      <c r="F9" s="177"/>
      <c r="G9" s="177"/>
      <c r="H9" s="177"/>
      <c r="I9" s="177"/>
      <c r="J9" s="177"/>
      <c r="K9" s="177"/>
      <c r="L9" s="177"/>
      <c r="M9" s="177"/>
      <c r="N9" s="177"/>
      <c r="O9" s="177"/>
      <c r="P9" s="177"/>
      <c r="Q9" s="177"/>
      <c r="R9" s="177"/>
      <c r="S9" s="177"/>
      <c r="T9" s="177"/>
      <c r="U9" s="177"/>
      <c r="V9" s="177"/>
      <c r="W9" s="177"/>
      <c r="X9" s="183"/>
      <c r="Y9" s="183"/>
      <c r="Z9" s="183"/>
      <c r="AA9" s="183"/>
      <c r="AB9" s="183"/>
      <c r="AC9" s="183"/>
      <c r="AD9" s="177"/>
      <c r="AE9" s="177"/>
      <c r="AF9" s="177"/>
      <c r="AG9" s="186"/>
      <c r="AH9" s="186"/>
      <c r="AI9" s="186"/>
      <c r="AJ9" s="178"/>
      <c r="AK9" s="81"/>
    </row>
    <row r="10" spans="1:37" s="81" customFormat="1" x14ac:dyDescent="0.3">
      <c r="A10" s="171" t="s">
        <v>253</v>
      </c>
      <c r="B10" s="173" t="s">
        <v>535</v>
      </c>
      <c r="C10" s="173"/>
      <c r="D10" s="174"/>
      <c r="E10" s="174"/>
      <c r="F10" s="174"/>
      <c r="G10" s="174"/>
      <c r="H10" s="174"/>
      <c r="I10" s="174"/>
      <c r="J10" s="174"/>
      <c r="K10" s="174"/>
      <c r="L10" s="174"/>
      <c r="M10" s="174"/>
      <c r="N10" s="174"/>
      <c r="O10" s="174"/>
      <c r="P10" s="174"/>
      <c r="Q10" s="174"/>
      <c r="R10" s="174"/>
      <c r="S10" s="174"/>
      <c r="T10" s="174"/>
      <c r="U10" s="174"/>
      <c r="V10" s="174"/>
      <c r="W10" s="174"/>
      <c r="X10" s="182"/>
      <c r="Y10" s="182"/>
      <c r="Z10" s="182"/>
      <c r="AA10" s="182"/>
      <c r="AB10" s="182"/>
      <c r="AC10" s="182"/>
      <c r="AD10" s="174"/>
      <c r="AE10" s="174"/>
      <c r="AF10" s="174"/>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531</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59" type="noConversion"/>
  <conditionalFormatting sqref="A6:AJ45">
    <cfRule type="expression" dxfId="222" priority="2">
      <formula>MOD(ROW(),2)=0</formula>
    </cfRule>
    <cfRule type="expression" dxfId="221"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L6" sqref="L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Mutuelle des Enseignants de l'Enseignement Primaire, Secondaire et Technique </v>
      </c>
      <c r="C1" s="164" t="str">
        <f ca="1">IF(OFFSET('Inventaire des régimes'!C5,(_xlfn.SHEET()-2),0)=0,"Name of Scheme in English", OFFSET('Inventaire des régimes'!C5,(_xlfn.SHEET()-2),0))</f>
        <v xml:space="preserve">Mutuelle des Enseignants de l'Enseignement Primaire, Secondaire et Technique </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41.4" x14ac:dyDescent="0.3">
      <c r="A5" s="96" t="s">
        <v>355</v>
      </c>
      <c r="B5" s="173" t="s">
        <v>537</v>
      </c>
      <c r="C5" s="173" t="s">
        <v>537</v>
      </c>
      <c r="D5" s="198" t="s">
        <v>405</v>
      </c>
      <c r="E5" s="191" t="s">
        <v>416</v>
      </c>
      <c r="F5" s="190" t="s">
        <v>421</v>
      </c>
      <c r="G5" s="189" t="s">
        <v>423</v>
      </c>
      <c r="H5" s="189" t="s">
        <v>398</v>
      </c>
      <c r="I5" s="205">
        <v>87019</v>
      </c>
      <c r="J5" s="205"/>
      <c r="K5" s="205"/>
      <c r="L5" s="206">
        <v>176471</v>
      </c>
      <c r="M5" s="207"/>
      <c r="N5" s="207"/>
      <c r="O5" s="192" t="s">
        <v>428</v>
      </c>
      <c r="P5" s="193"/>
      <c r="Q5" s="219"/>
      <c r="R5" s="192"/>
      <c r="S5" s="192"/>
      <c r="T5" s="194"/>
      <c r="U5" s="194"/>
      <c r="V5" s="194"/>
      <c r="W5" s="195"/>
      <c r="X5" s="195"/>
      <c r="Y5" s="194"/>
      <c r="Z5" s="203"/>
      <c r="AA5" s="189"/>
      <c r="AB5" s="97"/>
    </row>
    <row r="6" spans="1:28" s="63" customFormat="1"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524</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B5:C5">
    <cfRule type="expression" dxfId="1" priority="1">
      <formula>MOD(ROW(),2)=0</formula>
    </cfRule>
    <cfRule type="expression" dxfId="0"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$D15=HID_dropdown!$B$2</xm:f>
            <x14:dxf>
              <fill>
                <patternFill>
                  <bgColor rgb="FFF3EBF9"/>
                </patternFill>
              </fill>
            </x14:dxf>
          </x14:cfRule>
          <xm:sqref>W15:X19</xm:sqref>
        </x14:conditionalFormatting>
        <x14:conditionalFormatting xmlns:xm="http://schemas.microsoft.com/office/excel/2006/main">
          <x14:cfRule type="expression" priority="6" id="{666D00BB-76B6-4BFB-A3B6-FA3A07CD5F17}">
            <xm:f>$O15=HID_dropdown!$G$3</xm:f>
            <x14:dxf>
              <fill>
                <patternFill>
                  <bgColor theme="1"/>
                </patternFill>
              </fill>
            </x14:dxf>
          </x14:cfRule>
          <xm:sqref>P15:R19</xm:sqref>
        </x14:conditionalFormatting>
        <x14:conditionalFormatting xmlns:xm="http://schemas.microsoft.com/office/excel/2006/main">
          <x14:cfRule type="expression" priority="7" id="{4F6AD9C2-BCA4-4BAD-9318-5065E46FF058}">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DDB06D2-73A0-4C3F-ABD7-23F8E85C1A3D}">
            <xm:f>$H15=HID_dropdown!$A$2</xm:f>
            <x14:dxf>
              <fill>
                <patternFill>
                  <bgColor theme="1"/>
                </patternFill>
              </fill>
            </x14:dxf>
          </x14:cfRule>
          <xm:sqref>U15:V19</xm:sqref>
        </x14:conditionalFormatting>
        <x14:conditionalFormatting xmlns:xm="http://schemas.microsoft.com/office/excel/2006/main">
          <x14:cfRule type="expression" priority="1" id="{483ECA78-0C8C-4EC3-9B71-160294096676}">
            <xm:f>$D5=HID_dropdown!$B$2</xm:f>
            <x14:dxf>
              <fill>
                <patternFill>
                  <bgColor rgb="FFF3EBF9"/>
                </patternFill>
              </fill>
            </x14:dxf>
          </x14:cfRule>
          <xm:sqref>W5:X14</xm:sqref>
        </x14:conditionalFormatting>
        <x14:conditionalFormatting xmlns:xm="http://schemas.microsoft.com/office/excel/2006/main">
          <x14:cfRule type="expression" priority="2" id="{5EF90340-7C00-4AB3-8BD5-6822C2AB5BEF}">
            <xm:f>$O5=HID_dropdown!$G$3</xm:f>
            <x14:dxf>
              <fill>
                <patternFill>
                  <bgColor theme="1"/>
                </patternFill>
              </fill>
            </x14:dxf>
          </x14:cfRule>
          <xm:sqref>P5:R14</xm:sqref>
        </x14:conditionalFormatting>
        <x14:conditionalFormatting xmlns:xm="http://schemas.microsoft.com/office/excel/2006/main">
          <x14:cfRule type="expression" priority="3" id="{3A347128-4DCE-4209-97A3-80ED35F9AD62}">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E329E70-F3E5-4B37-949D-B36E18DA5984}">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528</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32D5A2D-ED37-4868-B14E-22D5279AFDCD}">
            <xm:f>$D15=HID_dropdown!$B$2</xm:f>
            <x14:dxf>
              <fill>
                <patternFill>
                  <bgColor rgb="FFF3EBF9"/>
                </patternFill>
              </fill>
            </x14:dxf>
          </x14:cfRule>
          <xm:sqref>W15:X19</xm:sqref>
        </x14:conditionalFormatting>
        <x14:conditionalFormatting xmlns:xm="http://schemas.microsoft.com/office/excel/2006/main">
          <x14:cfRule type="expression" priority="6" id="{8C2AFAE1-B627-4890-B04F-8ECD4313B51F}">
            <xm:f>$O15=HID_dropdown!$G$3</xm:f>
            <x14:dxf>
              <fill>
                <patternFill>
                  <bgColor theme="1"/>
                </patternFill>
              </fill>
            </x14:dxf>
          </x14:cfRule>
          <xm:sqref>P15:R19</xm:sqref>
        </x14:conditionalFormatting>
        <x14:conditionalFormatting xmlns:xm="http://schemas.microsoft.com/office/excel/2006/main">
          <x14:cfRule type="expression" priority="7" id="{29119D76-E96D-48D5-BFBA-A1BE7B8A700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145EFEEB-419B-4471-B5E7-E1DA98D503F2}">
            <xm:f>$H15=HID_dropdown!$A$2</xm:f>
            <x14:dxf>
              <fill>
                <patternFill>
                  <bgColor theme="1"/>
                </patternFill>
              </fill>
            </x14:dxf>
          </x14:cfRule>
          <xm:sqref>U15:V19</xm:sqref>
        </x14:conditionalFormatting>
        <x14:conditionalFormatting xmlns:xm="http://schemas.microsoft.com/office/excel/2006/main">
          <x14:cfRule type="expression" priority="1" id="{33597091-96EE-479B-B89E-D489D57767AF}">
            <xm:f>$D5=HID_dropdown!$B$2</xm:f>
            <x14:dxf>
              <fill>
                <patternFill>
                  <bgColor rgb="FFF3EBF9"/>
                </patternFill>
              </fill>
            </x14:dxf>
          </x14:cfRule>
          <xm:sqref>W5:X14</xm:sqref>
        </x14:conditionalFormatting>
        <x14:conditionalFormatting xmlns:xm="http://schemas.microsoft.com/office/excel/2006/main">
          <x14:cfRule type="expression" priority="2" id="{285E8B07-4B9A-4A36-9A4D-B6FB6363A82B}">
            <xm:f>$O5=HID_dropdown!$G$3</xm:f>
            <x14:dxf>
              <fill>
                <patternFill>
                  <bgColor theme="1"/>
                </patternFill>
              </fill>
            </x14:dxf>
          </x14:cfRule>
          <xm:sqref>P5:R14</xm:sqref>
        </x14:conditionalFormatting>
        <x14:conditionalFormatting xmlns:xm="http://schemas.microsoft.com/office/excel/2006/main">
          <x14:cfRule type="expression" priority="3" id="{31319ED6-0251-491F-ADBA-F9FAEA0084BC}">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1D51A550-759F-4DFE-974B-69E5036AA27B}">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F04A4E6E-533C-47FC-8A0C-A737F75E0084}">
            <xm:f>$D15=HID_dropdown!$B$2</xm:f>
            <x14:dxf>
              <fill>
                <patternFill>
                  <bgColor rgb="FFF3EBF9"/>
                </patternFill>
              </fill>
            </x14:dxf>
          </x14:cfRule>
          <xm:sqref>W15:X19</xm:sqref>
        </x14:conditionalFormatting>
        <x14:conditionalFormatting xmlns:xm="http://schemas.microsoft.com/office/excel/2006/main">
          <x14:cfRule type="expression" priority="6" id="{0F2B8F1C-7900-47E3-8A0C-1D587CFDE7C3}">
            <xm:f>$O15=HID_dropdown!$G$3</xm:f>
            <x14:dxf>
              <fill>
                <patternFill>
                  <bgColor theme="1"/>
                </patternFill>
              </fill>
            </x14:dxf>
          </x14:cfRule>
          <xm:sqref>P15:R19</xm:sqref>
        </x14:conditionalFormatting>
        <x14:conditionalFormatting xmlns:xm="http://schemas.microsoft.com/office/excel/2006/main">
          <x14:cfRule type="expression" priority="7" id="{D97C6875-2BCC-4285-B91F-3B28C34C217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C385A2D-6ED4-4190-8E69-DB7E03166FF3}">
            <xm:f>$H15=HID_dropdown!$A$2</xm:f>
            <x14:dxf>
              <fill>
                <patternFill>
                  <bgColor theme="1"/>
                </patternFill>
              </fill>
            </x14:dxf>
          </x14:cfRule>
          <xm:sqref>U15:V19</xm:sqref>
        </x14:conditionalFormatting>
        <x14:conditionalFormatting xmlns:xm="http://schemas.microsoft.com/office/excel/2006/main">
          <x14:cfRule type="expression" priority="1" id="{87B885AE-F6F5-4A11-960A-4571BFF4C630}">
            <xm:f>$D5=HID_dropdown!$B$2</xm:f>
            <x14:dxf>
              <fill>
                <patternFill>
                  <bgColor rgb="FFF3EBF9"/>
                </patternFill>
              </fill>
            </x14:dxf>
          </x14:cfRule>
          <xm:sqref>W5:X14</xm:sqref>
        </x14:conditionalFormatting>
        <x14:conditionalFormatting xmlns:xm="http://schemas.microsoft.com/office/excel/2006/main">
          <x14:cfRule type="expression" priority="2" id="{92B0818D-F9A4-46DE-9835-784C19A68BC2}">
            <xm:f>$O5=HID_dropdown!$G$3</xm:f>
            <x14:dxf>
              <fill>
                <patternFill>
                  <bgColor theme="1"/>
                </patternFill>
              </fill>
            </x14:dxf>
          </x14:cfRule>
          <xm:sqref>P5:R14</xm:sqref>
        </x14:conditionalFormatting>
        <x14:conditionalFormatting xmlns:xm="http://schemas.microsoft.com/office/excel/2006/main">
          <x14:cfRule type="expression" priority="3" id="{A0CD7B17-164B-4F94-82A8-AC86E377D4B3}">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88F31F8-B922-4BC1-9399-13567A89A4FC}">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N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$D15=HID_dropdown!$B$2</xm:f>
            <x14:dxf>
              <fill>
                <patternFill>
                  <bgColor rgb="FFF3EBF9"/>
                </patternFill>
              </fill>
            </x14:dxf>
          </x14:cfRule>
          <xm:sqref>W15:X19</xm:sqref>
        </x14:conditionalFormatting>
        <x14:conditionalFormatting xmlns:xm="http://schemas.microsoft.com/office/excel/2006/main">
          <x14:cfRule type="expression" priority="6" id="{44877E89-54FD-474C-8DA1-247F5ED3B271}">
            <xm:f>$O15=HID_dropdown!$G$3</xm:f>
            <x14:dxf>
              <fill>
                <patternFill>
                  <bgColor theme="1"/>
                </patternFill>
              </fill>
            </x14:dxf>
          </x14:cfRule>
          <xm:sqref>P15:R19</xm:sqref>
        </x14:conditionalFormatting>
        <x14:conditionalFormatting xmlns:xm="http://schemas.microsoft.com/office/excel/2006/main">
          <x14:cfRule type="expression" priority="7" id="{1482D3A9-E117-4E30-9532-A209121CC532}">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2532B19-D2F4-4710-8C73-F13E6D78A7BF}">
            <xm:f>$H15=HID_dropdown!$A$2</xm:f>
            <x14:dxf>
              <fill>
                <patternFill>
                  <bgColor theme="1"/>
                </patternFill>
              </fill>
            </x14:dxf>
          </x14:cfRule>
          <xm:sqref>U15:V19</xm:sqref>
        </x14:conditionalFormatting>
        <x14:conditionalFormatting xmlns:xm="http://schemas.microsoft.com/office/excel/2006/main">
          <x14:cfRule type="expression" priority="1" id="{9C51F1A8-5061-4A65-942C-290930245632}">
            <xm:f>$D5=HID_dropdown!$B$2</xm:f>
            <x14:dxf>
              <fill>
                <patternFill>
                  <bgColor rgb="FFF3EBF9"/>
                </patternFill>
              </fill>
            </x14:dxf>
          </x14:cfRule>
          <xm:sqref>W5:X14</xm:sqref>
        </x14:conditionalFormatting>
        <x14:conditionalFormatting xmlns:xm="http://schemas.microsoft.com/office/excel/2006/main">
          <x14:cfRule type="expression" priority="2" id="{28257FA1-AE54-4716-B3FA-3FEB5C80FB42}">
            <xm:f>$O5=HID_dropdown!$G$3</xm:f>
            <x14:dxf>
              <fill>
                <patternFill>
                  <bgColor theme="1"/>
                </patternFill>
              </fill>
            </x14:dxf>
          </x14:cfRule>
          <xm:sqref>P5:R14</xm:sqref>
        </x14:conditionalFormatting>
        <x14:conditionalFormatting xmlns:xm="http://schemas.microsoft.com/office/excel/2006/main">
          <x14:cfRule type="expression" priority="3" id="{8A2D27D2-F01A-4270-AB2F-F2A13A22494A}">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8C9E5E6C-AAFE-4125-8683-30F945F7DA88}">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5" t="s">
        <v>351</v>
      </c>
      <c r="J2" s="225"/>
      <c r="K2" s="225"/>
      <c r="L2" s="225"/>
      <c r="M2" s="225"/>
      <c r="N2" s="225"/>
      <c r="O2" s="226" t="s">
        <v>352</v>
      </c>
      <c r="P2" s="226"/>
      <c r="Q2" s="226"/>
      <c r="R2" s="226"/>
      <c r="S2" s="226"/>
      <c r="T2" s="224" t="s">
        <v>353</v>
      </c>
      <c r="U2" s="224"/>
      <c r="V2" s="224"/>
      <c r="W2" s="224"/>
      <c r="X2" s="224"/>
      <c r="Y2" s="224"/>
      <c r="Z2" s="68" t="s">
        <v>354</v>
      </c>
      <c r="AA2" s="65"/>
      <c r="AB2" s="65"/>
    </row>
    <row r="3" spans="1:28" ht="96.6" x14ac:dyDescent="0.3">
      <c r="A3" s="154" t="s">
        <v>328</v>
      </c>
      <c r="B3" s="140" t="s">
        <v>329</v>
      </c>
      <c r="C3" s="140" t="s">
        <v>330</v>
      </c>
      <c r="D3" s="140" t="s">
        <v>331</v>
      </c>
      <c r="E3" s="221" t="s">
        <v>349</v>
      </c>
      <c r="F3" s="222"/>
      <c r="G3" s="223"/>
      <c r="H3" s="140" t="s">
        <v>332</v>
      </c>
      <c r="I3" s="221" t="s">
        <v>333</v>
      </c>
      <c r="J3" s="222"/>
      <c r="K3" s="223"/>
      <c r="L3" s="227" t="s">
        <v>327</v>
      </c>
      <c r="M3" s="228"/>
      <c r="N3" s="229"/>
      <c r="O3" s="140" t="s">
        <v>334</v>
      </c>
      <c r="P3" s="140" t="s">
        <v>335</v>
      </c>
      <c r="Q3" s="140" t="s">
        <v>336</v>
      </c>
      <c r="R3" s="140" t="s">
        <v>337</v>
      </c>
      <c r="S3" s="140" t="s">
        <v>338</v>
      </c>
      <c r="T3" s="140" t="s">
        <v>339</v>
      </c>
      <c r="U3" s="140" t="s">
        <v>515</v>
      </c>
      <c r="V3" s="140" t="s">
        <v>340</v>
      </c>
      <c r="W3" s="221" t="s">
        <v>341</v>
      </c>
      <c r="X3" s="223"/>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2026-09-02T07:54:29Z</dcterms:modified>
</cp:coreProperties>
</file>