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MESP/"/>
    </mc:Choice>
  </mc:AlternateContent>
  <xr:revisionPtr revIDLastSave="6" documentId="8_{7A7F6BF5-763A-4B99-8FC1-0D849F6797ED}" xr6:coauthVersionLast="47" xr6:coauthVersionMax="47" xr10:uidLastSave="{4208B7F1-4E45-4E76-95C1-CBF66C752B4B}"/>
  <bookViews>
    <workbookView xWindow="-28920" yWindow="-4620" windowWidth="29040" windowHeight="15720" activeTab="2"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1" i="15" l="1"/>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<sst xmlns="http://schemas.openxmlformats.org/spreadsheetml/2006/main" count="3098" uniqueCount="535">
  <si>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</si>
  <si>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</si>
  <si>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</si>
  <si>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</si>
  <si>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</si>
  <si>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</si>
  <si>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</si>
  <si>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</si>
  <si>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</si>
  <si>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</si>
  <si>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</si>
  <si>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</si>
  <si>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</si>
  <si>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</si>
  <si>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</si>
  <si>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</si>
  <si>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</si>
  <si>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</si>
  <si>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</si>
  <si>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</si>
  <si>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</si>
  <si>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</si>
  <si>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</si>
  <si>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</si>
  <si>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</si>
  <si>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</si>
  <si>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</si>
  <si>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</si>
  <si>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</si>
  <si>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</si>
  <si>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</si>
  <si>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</si>
  <si>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</si>
  <si>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</si>
  <si>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</si>
  <si>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</si>
  <si>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</si>
  <si>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</si>
  <si>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</si>
  <si>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</si>
  <si>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</si>
  <si>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</si>
  <si>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</si>
  <si>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</si>
  <si>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</si>
  <si>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</si>
  <si>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</si>
  <si>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</si>
  <si>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</si>
  <si>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</si>
  <si>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</si>
  <si>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</si>
  <si>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</si>
  <si>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</si>
  <si>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</si>
  <si>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</si>
  <si>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</si>
  <si>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</si>
  <si>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</si>
  <si>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</si>
  <si>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</si>
  <si>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</si>
  <si>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</si>
  <si>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</si>
  <si>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</si>
  <si>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</si>
  <si>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</si>
  <si>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</si>
  <si>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</si>
  <si>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</si>
  <si>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</si>
  <si>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</si>
  <si>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</si>
  <si>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</si>
  <si>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</si>
  <si>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</si>
  <si>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</si>
  <si>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</si>
  <si>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</si>
  <si>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</si>
  <si>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</si>
  <si>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</si>
  <si>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</si>
  <si>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</si>
  <si>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</si>
  <si>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</si>
  <si>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</si>
  <si>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</si>
  <si>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</si>
  <si>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</si>
  <si>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</si>
  <si>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</si>
  <si>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</si>
  <si>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</si>
  <si>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</si>
  <si>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</si>
  <si>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</si>
  <si>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</si>
  <si>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</si>
  <si>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</si>
  <si>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</si>
  <si>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</si>
  <si>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</si>
  <si>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</si>
  <si>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</si>
  <si>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</si>
  <si>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</si>
  <si>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</si>
  <si>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</si>
  <si>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</si>
  <si>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</si>
  <si>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</si>
  <si>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</si>
  <si>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</si>
  <si>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</si>
  <si>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</si>
  <si>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</si>
  <si>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</si>
  <si>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</si>
  <si>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</si>
  <si>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</si>
  <si>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</si>
  <si>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</si>
  <si>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</si>
  <si>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</si>
  <si>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</si>
  <si>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</si>
  <si>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</si>
  <si>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</si>
  <si>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</si>
  <si>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</si>
  <si>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</si>
  <si>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</si>
  <si>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</si>
  <si>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</si>
  <si>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</si>
  <si>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</si>
  <si>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</si>
  <si>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</si>
  <si>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</si>
  <si>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</si>
  <si>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</si>
  <si>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</si>
  <si>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</si>
  <si>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</si>
  <si>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</si>
  <si>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</si>
  <si>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</si>
  <si>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</si>
  <si>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</si>
  <si>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</si>
  <si>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</si>
  <si>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</si>
  <si>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</si>
  <si>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</si>
  <si>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</si>
  <si>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</si>
  <si>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</si>
  <si>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</si>
  <si>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</si>
  <si>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</si>
  <si>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</si>
  <si>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</si>
  <si>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</si>
  <si>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</si>
  <si>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</si>
  <si>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</si>
  <si>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</si>
  <si>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</si>
  <si>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</si>
  <si>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</si>
  <si>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</si>
  <si>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</si>
  <si>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</si>
  <si>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</si>
  <si>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</si>
  <si>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</si>
  <si>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</si>
  <si>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</si>
  <si>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</si>
  <si>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</si>
  <si>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</si>
  <si>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</si>
  <si>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</si>
  <si>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</si>
  <si>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</si>
  <si>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</si>
  <si>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</si>
  <si>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</si>
  <si>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</si>
  <si>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</si>
  <si>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</si>
  <si>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</si>
  <si>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</si>
  <si>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</si>
  <si>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</si>
  <si>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</si>
  <si>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</si>
  <si>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</si>
  <si>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</si>
  <si>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</si>
  <si>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</si>
  <si>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</si>
  <si>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</si>
  <si>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</si>
  <si>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</si>
  <si>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</si>
  <si>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</si>
  <si>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</si>
  <si>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</si>
  <si>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</si>
  <si>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</si>
  <si>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</si>
  <si>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</si>
  <si>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</si>
  <si>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</si>
  <si>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</si>
  <si>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</si>
  <si>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</si>
  <si>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</si>
  <si>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</si>
  <si>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</si>
  <si>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</si>
  <si>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</si>
  <si>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</si>
  <si>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</si>
  <si>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</si>
  <si>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</si>
  <si>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</si>
  <si>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</si>
  <si>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</si>
  <si>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</si>
  <si>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</si>
  <si>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</si>
  <si>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</si>
  <si>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</si>
  <si>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</si>
  <si>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</si>
  <si>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</si>
  <si>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</si>
  <si>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</si>
  <si>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</si>
  <si>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</si>
  <si>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</si>
  <si>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</si>
  <si>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</si>
  <si>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</si>
  <si>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</si>
  <si>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</si>
  <si>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</si>
  <si>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</si>
  <si>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</si>
  <si>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</si>
  <si>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</si>
  <si>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</si>
  <si>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</si>
  <si>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</si>
  <si>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</si>
  <si>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</si>
  <si>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</si>
  <si>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</si>
  <si>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</si>
  <si>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</si>
  <si>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</si>
  <si>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</si>
  <si>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</si>
  <si>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</si>
  <si>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</si>
  <si>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</si>
  <si>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</si>
  <si>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</si>
  <si>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</si>
  <si>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</si>
  <si>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</si>
  <si>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</si>
  <si>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</si>
  <si>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</si>
  <si>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</si>
  <si>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</si>
  <si>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</si>
  <si>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</si>
  <si>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</si>
  <si>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</si>
  <si>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</si>
  <si>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</si>
  <si>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</si>
  <si>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</si>
  <si>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</si>
  <si>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</si>
  <si>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</si>
  <si>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</si>
  <si>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</si>
  <si>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</si>
  <si>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</si>
  <si>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</si>
  <si>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</si>
  <si>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</si>
  <si>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</si>
  <si>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</si>
  <si>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</si>
  <si>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</si>
  <si>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</si>
  <si>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</si>
  <si>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</si>
  <si>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</si>
  <si>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</si>
  <si>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</si>
  <si>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</si>
  <si>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</si>
  <si>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</si>
  <si>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</si>
  <si>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</si>
  <si>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</si>
  <si>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</si>
  <si>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</si>
  <si>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</si>
  <si>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</si>
  <si>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</si>
  <si>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</si>
  <si>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</si>
  <si>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</si>
  <si>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</si>
  <si>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</si>
  <si>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</si>
  <si>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</si>
  <si>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</si>
  <si>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</si>
  <si>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</si>
  <si>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</si>
  <si>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</si>
  <si>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</si>
  <si>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</si>
  <si>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</si>
  <si>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</si>
  <si>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</si>
  <si>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</si>
  <si>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</si>
  <si>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</si>
  <si>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</si>
  <si>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</si>
  <si>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</si>
  <si>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</si>
  <si>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</si>
  <si>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</si>
  <si>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</si>
  <si>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</si>
  <si>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</si>
  <si>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</si>
  <si>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</si>
  <si>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</si>
  <si>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</si>
  <si>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</si>
  <si>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</si>
  <si>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</si>
  <si>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</si>
  <si>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</si>
  <si>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</si>
  <si>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</si>
  <si>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</si>
  <si>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</si>
  <si>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</si>
  <si>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</si>
  <si>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</si>
  <si>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</si>
  <si>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</si>
  <si>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</si>
  <si>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</si>
  <si>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</si>
  <si>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</si>
  <si>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</si>
  <si>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</si>
  <si>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</si>
  <si>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</si>
  <si>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</si>
  <si>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</si>
  <si>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</si>
  <si>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</si>
  <si>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</si>
  <si>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</si>
  <si>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</si>
  <si>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</si>
  <si>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</si>
  <si>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</si>
  <si>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</si>
  <si>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</si>
  <si>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</si>
  <si>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</si>
  <si>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</si>
  <si>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</si>
  <si>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</si>
  <si>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</si>
  <si>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</si>
  <si>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</si>
  <si>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</si>
  <si>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</si>
  <si>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</si>
  <si>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</si>
  <si>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</si>
  <si>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</si>
  <si>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</si>
  <si>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</si>
  <si>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</si>
  <si>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</si>
  <si>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</si>
  <si>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</si>
  <si>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</si>
  <si>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</si>
  <si>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</si>
  <si>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</si>
  <si>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</si>
  <si>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</si>
  <si>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</si>
  <si>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</si>
  <si>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</si>
  <si>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</si>
  <si>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</si>
  <si>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</si>
  <si>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</si>
  <si>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</si>
  <si>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</si>
  <si>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</si>
  <si>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</si>
  <si>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</si>
  <si>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</si>
  <si>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</si>
  <si>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</si>
  <si>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</si>
  <si>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</si>
  <si>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</si>
  <si>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</si>
  <si>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</si>
  <si>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</si>
  <si>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</si>
  <si>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</si>
  <si>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</si>
  <si>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</si>
  <si>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</si>
  <si>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</si>
  <si>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</si>
  <si>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</si>
  <si>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</si>
  <si>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</si>
  <si>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</si>
  <si>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</si>
  <si>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</si>
  <si>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</si>
  <si>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</si>
  <si>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</si>
  <si>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</si>
  <si>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</si>
  <si>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</si>
  <si>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</si>
  <si>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</si>
  <si>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</si>
  <si>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</si>
  <si>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</si>
  <si>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</si>
  <si>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</si>
  <si>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</si>
  <si>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</si>
  <si>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</si>
  <si>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</si>
  <si>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</si>
  <si>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</si>
  <si>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</si>
  <si>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</si>
  <si>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</si>
  <si>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</si>
  <si>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</si>
  <si>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</si>
  <si>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</si>
  <si>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</si>
  <si>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</si>
  <si>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</si>
  <si>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</si>
  <si>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</si>
  <si>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</si>
  <si>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</si>
  <si>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</si>
  <si>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</si>
  <si>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</si>
  <si>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</si>
  <si>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</si>
  <si>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</si>
  <si>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</si>
  <si>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</si>
  <si>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</si>
  <si>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</si>
  <si>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</si>
  <si>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</si>
  <si>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</si>
  <si>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</si>
  <si>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</si>
  <si>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</si>
  <si>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</si>
  <si>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</si>
  <si>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</si>
  <si>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</si>
  <si>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</si>
  <si>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</si>
  <si>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</si>
  <si>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</si>
  <si>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</si>
  <si>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</si>
  <si>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</si>
  <si>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</si>
  <si>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</si>
  <si>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</si>
  <si>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</si>
  <si>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</si>
  <si>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</si>
  <si>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</si>
  <si>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</si>
  <si>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</si>
  <si>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</si>
  <si>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</si>
  <si>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</si>
  <si>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</si>
  <si>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</si>
  <si>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</si>
  <si>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</si>
  <si>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</si>
  <si>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REPUBLIQUE DEMOCRATIQUE DU CONGO</t>
  </si>
  <si>
    <t>Parlementaires, anciens parlementaires et ayants droit éligibles selon la loi</t>
  </si>
  <si>
    <t>Parlementaires en fonction, parlementaires honoraires, conjoints et enfants bénéficiaires conformément à la législation et à la réglementation du SESOPA</t>
  </si>
  <si>
    <t>Le régime couvre les prestations servies aux  survivants et ayants droit des parlementaires conformément à la législation et à la réglementation du SESOPA</t>
  </si>
  <si>
    <t>Le régime couvre les prestations servies aux parlementaires victimes d'accidents ou de maladies imputables à l'exercice du mandat ainsi qu'à leurs ayants droit conformément à la législation en vigueur</t>
  </si>
  <si>
    <t>Le régime couvre les prestations liées à la grossesse, à l'accouchement, au congé de maternité et aux soins postnataux des parlementaires bénéficiaires ou leurs conjointes conformément à la législation et à la réglementation du SESOPA</t>
  </si>
  <si>
    <t>Lois SESOPA de 1988,2012, 2018 et 2023 ainsi que les règlements intérieurs de l'Assemblée nationale et du SESOPA</t>
  </si>
  <si>
    <t>Nom du régime 2</t>
  </si>
  <si>
    <t>Nom du régime 3</t>
  </si>
  <si>
    <t>Nom du régime 4</t>
  </si>
  <si>
    <t>Nom du régime 5</t>
  </si>
  <si>
    <t>MESP</t>
  </si>
  <si>
    <t xml:space="preserve">Mutuelle des Enseignants de l'Enseignement Primaire, Secondaire et Technique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</si>
</sst>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s>
  <fills count="1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47">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21" fillId="7" borderId="12" xfId="0" applyFont="1" applyFill="1" applyBorder="1" applyAlignment="1" applyProtection="1">
      <alignment horizontal="left" vertical="top" wrapText="1"/>
      <protection locked="0"/>
    </xf>
    <xf numFmtId="0" fontId="21" fillId="7" borderId="3" xfId="0" applyFont="1" applyFill="1" applyBorder="1" applyAlignment="1" applyProtection="1">
      <alignment horizontal="left" vertical="top" wrapText="1"/>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2"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27">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6" tint="0.79998168889431442"/>
        </patternFill>
      </fill>
    </dxf>
    <dxf>
      <fill>
        <patternFill>
          <bgColor theme="0"/>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4414062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workbookViewId="0">
      <pane xSplit="2" ySplit="5" topLeftCell="E6" activePane="bottomRight" state="frozen"/>
      <selection pane="topRight" activeCell="C1" sqref="C1"/>
      <selection pane="bottomLeft" activeCell="A6" sqref="A6"/>
      <selection pane="bottomRight" activeCell="AA6" sqref="AA6"/>
    </sheetView>
  </sheetViews>
  <sheetFormatPr defaultColWidth="0" defaultRowHeight="13.8" zeroHeight="1" x14ac:dyDescent="0.3"/>
  <cols>
    <col min="1" max="1" width="9.33203125" style="58" customWidth="1"/>
    <col min="2" max="4" width="25.6640625" style="56" customWidth="1"/>
    <col min="5" max="19" width="3" style="57" customWidth="1"/>
    <col min="20" max="20" width="4.4414062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44140625" style="59" customWidth="1"/>
    <col min="38" max="39" width="11.44140625" style="56" hidden="1"/>
    <col min="40" max="40" width="30.6640625" style="56" hidden="1"/>
    <col min="41" max="41" width="5.77734375" style="56" hidden="1"/>
    <col min="42" max="248" width="11.44140625" style="56" hidden="1"/>
    <col min="249" max="249" width="12.44140625" style="56" hidden="1"/>
    <col min="250" max="257" width="5.33203125" style="56" hidden="1"/>
    <col min="258" max="258" width="8" style="56" hidden="1"/>
    <col min="259" max="259" width="4" style="56" hidden="1"/>
    <col min="260" max="260" width="39.44140625" style="56" hidden="1"/>
    <col min="261" max="274" width="5.33203125" style="56" hidden="1"/>
    <col min="275" max="275" width="10.77734375" style="56" hidden="1"/>
    <col min="276" max="276" width="10.109375" style="56" hidden="1"/>
    <col min="277" max="277" width="10.44140625" style="56" hidden="1"/>
    <col min="278" max="278" width="9.4414062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77734375" style="56" hidden="1"/>
    <col min="293" max="295" width="11.44140625" style="56" hidden="1"/>
    <col min="296" max="296" width="30.6640625" style="56" hidden="1"/>
    <col min="297" max="504" width="11.44140625" style="56" hidden="1"/>
    <col min="505" max="505" width="12.44140625" style="56" hidden="1"/>
    <col min="506" max="513" width="5.33203125" style="56" hidden="1"/>
    <col min="514" max="514" width="8" style="56" hidden="1"/>
    <col min="515" max="515" width="4" style="56" hidden="1"/>
    <col min="516" max="516" width="39.44140625" style="56" hidden="1"/>
    <col min="517" max="530" width="5.33203125" style="56" hidden="1"/>
    <col min="531" max="531" width="10.77734375" style="56" hidden="1"/>
    <col min="532" max="532" width="10.109375" style="56" hidden="1"/>
    <col min="533" max="533" width="10.44140625" style="56" hidden="1"/>
    <col min="534" max="534" width="9.4414062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77734375" style="56" hidden="1"/>
    <col min="549" max="551" width="11.44140625" style="56" hidden="1"/>
    <col min="552" max="552" width="30.6640625" style="56" hidden="1"/>
    <col min="553" max="760" width="11.44140625" style="56" hidden="1"/>
    <col min="761" max="761" width="12.44140625" style="56" hidden="1"/>
    <col min="762" max="769" width="5.33203125" style="56" hidden="1"/>
    <col min="770" max="770" width="8" style="56" hidden="1"/>
    <col min="771" max="771" width="4" style="56" hidden="1"/>
    <col min="772" max="772" width="39.44140625" style="56" hidden="1"/>
    <col min="773" max="786" width="5.33203125" style="56" hidden="1"/>
    <col min="787" max="787" width="10.77734375" style="56" hidden="1"/>
    <col min="788" max="788" width="10.109375" style="56" hidden="1"/>
    <col min="789" max="789" width="10.44140625" style="56" hidden="1"/>
    <col min="790" max="790" width="9.4414062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77734375" style="56" hidden="1"/>
    <col min="805" max="807" width="11.44140625" style="56" hidden="1"/>
    <col min="808" max="808" width="30.6640625" style="56" hidden="1"/>
    <col min="809" max="1016" width="11.44140625" style="56" hidden="1"/>
    <col min="1017" max="1017" width="12.4414062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77734375" style="56" hidden="1"/>
    <col min="1044" max="1044" width="10.109375" style="56" hidden="1"/>
    <col min="1045" max="1045" width="10.44140625" style="56" hidden="1"/>
    <col min="1046" max="1046" width="9.4414062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77734375" style="56" hidden="1"/>
    <col min="1061" max="1063" width="11.44140625" style="56" hidden="1"/>
    <col min="1064" max="1064" width="30.6640625" style="56" hidden="1"/>
    <col min="1065" max="1272" width="11.44140625" style="56" hidden="1"/>
    <col min="1273" max="1273" width="12.4414062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77734375" style="56" hidden="1"/>
    <col min="1300" max="1300" width="10.109375" style="56" hidden="1"/>
    <col min="1301" max="1301" width="10.44140625" style="56" hidden="1"/>
    <col min="1302" max="1302" width="9.4414062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77734375" style="56" hidden="1"/>
    <col min="1317" max="1319" width="11.44140625" style="56" hidden="1"/>
    <col min="1320" max="1320" width="30.6640625" style="56" hidden="1"/>
    <col min="1321" max="1528" width="11.44140625" style="56" hidden="1"/>
    <col min="1529" max="1529" width="12.4414062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77734375" style="56" hidden="1"/>
    <col min="1556" max="1556" width="10.109375" style="56" hidden="1"/>
    <col min="1557" max="1557" width="10.44140625" style="56" hidden="1"/>
    <col min="1558" max="1558" width="9.4414062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77734375" style="56" hidden="1"/>
    <col min="1573" max="1575" width="11.44140625" style="56" hidden="1"/>
    <col min="1576" max="1576" width="30.6640625" style="56" hidden="1"/>
    <col min="1577" max="1784" width="11.44140625" style="56" hidden="1"/>
    <col min="1785" max="1785" width="12.4414062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77734375" style="56" hidden="1"/>
    <col min="1812" max="1812" width="10.109375" style="56" hidden="1"/>
    <col min="1813" max="1813" width="10.44140625" style="56" hidden="1"/>
    <col min="1814" max="1814" width="9.4414062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77734375" style="56" hidden="1"/>
    <col min="1829" max="1831" width="11.44140625" style="56" hidden="1"/>
    <col min="1832" max="1832" width="30.6640625" style="56" hidden="1"/>
    <col min="1833" max="2040" width="11.44140625" style="56" hidden="1"/>
    <col min="2041" max="2041" width="12.4414062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77734375" style="56" hidden="1"/>
    <col min="2068" max="2068" width="10.109375" style="56" hidden="1"/>
    <col min="2069" max="2069" width="10.44140625" style="56" hidden="1"/>
    <col min="2070" max="2070" width="9.4414062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77734375" style="56" hidden="1"/>
    <col min="2085" max="2087" width="11.44140625" style="56" hidden="1"/>
    <col min="2088" max="2088" width="30.6640625" style="56" hidden="1"/>
    <col min="2089" max="2296" width="11.44140625" style="56" hidden="1"/>
    <col min="2297" max="2297" width="12.4414062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77734375" style="56" hidden="1"/>
    <col min="2324" max="2324" width="10.109375" style="56" hidden="1"/>
    <col min="2325" max="2325" width="10.44140625" style="56" hidden="1"/>
    <col min="2326" max="2326" width="9.4414062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77734375" style="56" hidden="1"/>
    <col min="2341" max="2343" width="11.44140625" style="56" hidden="1"/>
    <col min="2344" max="2344" width="30.6640625" style="56" hidden="1"/>
    <col min="2345" max="2552" width="11.44140625" style="56" hidden="1"/>
    <col min="2553" max="2553" width="12.4414062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77734375" style="56" hidden="1"/>
    <col min="2580" max="2580" width="10.109375" style="56" hidden="1"/>
    <col min="2581" max="2581" width="10.44140625" style="56" hidden="1"/>
    <col min="2582" max="2582" width="9.4414062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77734375" style="56" hidden="1"/>
    <col min="2597" max="2599" width="11.44140625" style="56" hidden="1"/>
    <col min="2600" max="2600" width="30.6640625" style="56" hidden="1"/>
    <col min="2601" max="2808" width="11.44140625" style="56" hidden="1"/>
    <col min="2809" max="2809" width="12.4414062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77734375" style="56" hidden="1"/>
    <col min="2836" max="2836" width="10.109375" style="56" hidden="1"/>
    <col min="2837" max="2837" width="10.44140625" style="56" hidden="1"/>
    <col min="2838" max="2838" width="9.4414062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77734375" style="56" hidden="1"/>
    <col min="2853" max="2855" width="11.44140625" style="56" hidden="1"/>
    <col min="2856" max="2856" width="30.6640625" style="56" hidden="1"/>
    <col min="2857" max="3064" width="11.44140625" style="56" hidden="1"/>
    <col min="3065" max="3065" width="12.4414062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77734375" style="56" hidden="1"/>
    <col min="3092" max="3092" width="10.109375" style="56" hidden="1"/>
    <col min="3093" max="3093" width="10.44140625" style="56" hidden="1"/>
    <col min="3094" max="3094" width="9.4414062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77734375" style="56" hidden="1"/>
    <col min="3109" max="3111" width="11.44140625" style="56" hidden="1"/>
    <col min="3112" max="3112" width="30.6640625" style="56" hidden="1"/>
    <col min="3113" max="3320" width="11.44140625" style="56" hidden="1"/>
    <col min="3321" max="3321" width="12.4414062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77734375" style="56" hidden="1"/>
    <col min="3348" max="3348" width="10.109375" style="56" hidden="1"/>
    <col min="3349" max="3349" width="10.44140625" style="56" hidden="1"/>
    <col min="3350" max="3350" width="9.4414062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77734375" style="56" hidden="1"/>
    <col min="3365" max="3367" width="11.44140625" style="56" hidden="1"/>
    <col min="3368" max="3368" width="30.6640625" style="56" hidden="1"/>
    <col min="3369" max="3576" width="11.44140625" style="56" hidden="1"/>
    <col min="3577" max="3577" width="12.4414062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77734375" style="56" hidden="1"/>
    <col min="3604" max="3604" width="10.109375" style="56" hidden="1"/>
    <col min="3605" max="3605" width="10.44140625" style="56" hidden="1"/>
    <col min="3606" max="3606" width="9.4414062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77734375" style="56" hidden="1"/>
    <col min="3621" max="3623" width="11.44140625" style="56" hidden="1"/>
    <col min="3624" max="3624" width="30.6640625" style="56" hidden="1"/>
    <col min="3625" max="3832" width="11.44140625" style="56" hidden="1"/>
    <col min="3833" max="3833" width="12.4414062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77734375" style="56" hidden="1"/>
    <col min="3860" max="3860" width="10.109375" style="56" hidden="1"/>
    <col min="3861" max="3861" width="10.44140625" style="56" hidden="1"/>
    <col min="3862" max="3862" width="9.4414062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77734375" style="56" hidden="1"/>
    <col min="3877" max="3879" width="11.44140625" style="56" hidden="1"/>
    <col min="3880" max="3880" width="30.6640625" style="56" hidden="1"/>
    <col min="3881" max="4088" width="11.44140625" style="56" hidden="1"/>
    <col min="4089" max="4089" width="12.4414062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77734375" style="56" hidden="1"/>
    <col min="4116" max="4116" width="10.109375" style="56" hidden="1"/>
    <col min="4117" max="4117" width="10.44140625" style="56" hidden="1"/>
    <col min="4118" max="4118" width="9.4414062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77734375" style="56" hidden="1"/>
    <col min="4133" max="4135" width="11.44140625" style="56" hidden="1"/>
    <col min="4136" max="4136" width="30.6640625" style="56" hidden="1"/>
    <col min="4137" max="4344" width="11.44140625" style="56" hidden="1"/>
    <col min="4345" max="4345" width="12.4414062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77734375" style="56" hidden="1"/>
    <col min="4372" max="4372" width="10.109375" style="56" hidden="1"/>
    <col min="4373" max="4373" width="10.44140625" style="56" hidden="1"/>
    <col min="4374" max="4374" width="9.4414062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77734375" style="56" hidden="1"/>
    <col min="4389" max="4391" width="11.44140625" style="56" hidden="1"/>
    <col min="4392" max="4392" width="30.6640625" style="56" hidden="1"/>
    <col min="4393" max="4600" width="11.44140625" style="56" hidden="1"/>
    <col min="4601" max="4601" width="12.4414062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77734375" style="56" hidden="1"/>
    <col min="4628" max="4628" width="10.109375" style="56" hidden="1"/>
    <col min="4629" max="4629" width="10.44140625" style="56" hidden="1"/>
    <col min="4630" max="4630" width="9.4414062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77734375" style="56" hidden="1"/>
    <col min="4645" max="4647" width="11.44140625" style="56" hidden="1"/>
    <col min="4648" max="4648" width="30.6640625" style="56" hidden="1"/>
    <col min="4649" max="4856" width="11.44140625" style="56" hidden="1"/>
    <col min="4857" max="4857" width="12.4414062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77734375" style="56" hidden="1"/>
    <col min="4884" max="4884" width="10.109375" style="56" hidden="1"/>
    <col min="4885" max="4885" width="10.44140625" style="56" hidden="1"/>
    <col min="4886" max="4886" width="9.4414062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77734375" style="56" hidden="1"/>
    <col min="4901" max="4903" width="11.44140625" style="56" hidden="1"/>
    <col min="4904" max="4904" width="30.6640625" style="56" hidden="1"/>
    <col min="4905" max="5112" width="11.44140625" style="56" hidden="1"/>
    <col min="5113" max="5113" width="12.4414062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77734375" style="56" hidden="1"/>
    <col min="5140" max="5140" width="10.109375" style="56" hidden="1"/>
    <col min="5141" max="5141" width="10.44140625" style="56" hidden="1"/>
    <col min="5142" max="5142" width="9.4414062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77734375" style="56" hidden="1"/>
    <col min="5157" max="5159" width="11.44140625" style="56" hidden="1"/>
    <col min="5160" max="5160" width="30.6640625" style="56" hidden="1"/>
    <col min="5161" max="5368" width="11.44140625" style="56" hidden="1"/>
    <col min="5369" max="5369" width="12.4414062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77734375" style="56" hidden="1"/>
    <col min="5396" max="5396" width="10.109375" style="56" hidden="1"/>
    <col min="5397" max="5397" width="10.44140625" style="56" hidden="1"/>
    <col min="5398" max="5398" width="9.4414062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77734375" style="56" hidden="1"/>
    <col min="5413" max="5415" width="11.44140625" style="56" hidden="1"/>
    <col min="5416" max="5416" width="30.6640625" style="56" hidden="1"/>
    <col min="5417" max="5624" width="11.44140625" style="56" hidden="1"/>
    <col min="5625" max="5625" width="12.4414062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77734375" style="56" hidden="1"/>
    <col min="5652" max="5652" width="10.109375" style="56" hidden="1"/>
    <col min="5653" max="5653" width="10.44140625" style="56" hidden="1"/>
    <col min="5654" max="5654" width="9.4414062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77734375" style="56" hidden="1"/>
    <col min="5669" max="5671" width="11.44140625" style="56" hidden="1"/>
    <col min="5672" max="5672" width="30.6640625" style="56" hidden="1"/>
    <col min="5673" max="5880" width="11.44140625" style="56" hidden="1"/>
    <col min="5881" max="5881" width="12.4414062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77734375" style="56" hidden="1"/>
    <col min="5908" max="5908" width="10.109375" style="56" hidden="1"/>
    <col min="5909" max="5909" width="10.44140625" style="56" hidden="1"/>
    <col min="5910" max="5910" width="9.4414062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77734375" style="56" hidden="1"/>
    <col min="5925" max="5927" width="11.44140625" style="56" hidden="1"/>
    <col min="5928" max="5928" width="30.6640625" style="56" hidden="1"/>
    <col min="5929" max="6136" width="11.44140625" style="56" hidden="1"/>
    <col min="6137" max="6137" width="12.4414062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77734375" style="56" hidden="1"/>
    <col min="6164" max="6164" width="10.109375" style="56" hidden="1"/>
    <col min="6165" max="6165" width="10.44140625" style="56" hidden="1"/>
    <col min="6166" max="6166" width="9.4414062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77734375" style="56" hidden="1"/>
    <col min="6181" max="6183" width="11.44140625" style="56" hidden="1"/>
    <col min="6184" max="6184" width="30.6640625" style="56" hidden="1"/>
    <col min="6185" max="6392" width="11.44140625" style="56" hidden="1"/>
    <col min="6393" max="6393" width="12.4414062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77734375" style="56" hidden="1"/>
    <col min="6420" max="6420" width="10.109375" style="56" hidden="1"/>
    <col min="6421" max="6421" width="10.44140625" style="56" hidden="1"/>
    <col min="6422" max="6422" width="9.4414062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77734375" style="56" hidden="1"/>
    <col min="6437" max="6439" width="11.44140625" style="56" hidden="1"/>
    <col min="6440" max="6440" width="30.6640625" style="56" hidden="1"/>
    <col min="6441" max="6648" width="11.44140625" style="56" hidden="1"/>
    <col min="6649" max="6649" width="12.4414062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77734375" style="56" hidden="1"/>
    <col min="6676" max="6676" width="10.109375" style="56" hidden="1"/>
    <col min="6677" max="6677" width="10.44140625" style="56" hidden="1"/>
    <col min="6678" max="6678" width="9.4414062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77734375" style="56" hidden="1"/>
    <col min="6693" max="6695" width="11.44140625" style="56" hidden="1"/>
    <col min="6696" max="6696" width="30.6640625" style="56" hidden="1"/>
    <col min="6697" max="6904" width="11.44140625" style="56" hidden="1"/>
    <col min="6905" max="6905" width="12.4414062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77734375" style="56" hidden="1"/>
    <col min="6932" max="6932" width="10.109375" style="56" hidden="1"/>
    <col min="6933" max="6933" width="10.44140625" style="56" hidden="1"/>
    <col min="6934" max="6934" width="9.4414062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77734375" style="56" hidden="1"/>
    <col min="6949" max="6951" width="11.44140625" style="56" hidden="1"/>
    <col min="6952" max="6952" width="30.6640625" style="56" hidden="1"/>
    <col min="6953" max="7160" width="11.44140625" style="56" hidden="1"/>
    <col min="7161" max="7161" width="12.4414062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77734375" style="56" hidden="1"/>
    <col min="7188" max="7188" width="10.109375" style="56" hidden="1"/>
    <col min="7189" max="7189" width="10.44140625" style="56" hidden="1"/>
    <col min="7190" max="7190" width="9.4414062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77734375" style="56" hidden="1"/>
    <col min="7205" max="7207" width="11.44140625" style="56" hidden="1"/>
    <col min="7208" max="7208" width="30.6640625" style="56" hidden="1"/>
    <col min="7209" max="7416" width="11.44140625" style="56" hidden="1"/>
    <col min="7417" max="7417" width="12.4414062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77734375" style="56" hidden="1"/>
    <col min="7444" max="7444" width="10.109375" style="56" hidden="1"/>
    <col min="7445" max="7445" width="10.44140625" style="56" hidden="1"/>
    <col min="7446" max="7446" width="9.4414062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77734375" style="56" hidden="1"/>
    <col min="7461" max="7463" width="11.44140625" style="56" hidden="1"/>
    <col min="7464" max="7464" width="30.6640625" style="56" hidden="1"/>
    <col min="7465" max="7672" width="11.44140625" style="56" hidden="1"/>
    <col min="7673" max="7673" width="12.4414062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77734375" style="56" hidden="1"/>
    <col min="7700" max="7700" width="10.109375" style="56" hidden="1"/>
    <col min="7701" max="7701" width="10.44140625" style="56" hidden="1"/>
    <col min="7702" max="7702" width="9.4414062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77734375" style="56" hidden="1"/>
    <col min="7717" max="7719" width="11.44140625" style="56" hidden="1"/>
    <col min="7720" max="7720" width="30.6640625" style="56" hidden="1"/>
    <col min="7721" max="7928" width="11.44140625" style="56" hidden="1"/>
    <col min="7929" max="7929" width="12.4414062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77734375" style="56" hidden="1"/>
    <col min="7956" max="7956" width="10.109375" style="56" hidden="1"/>
    <col min="7957" max="7957" width="10.44140625" style="56" hidden="1"/>
    <col min="7958" max="7958" width="9.4414062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77734375" style="56" hidden="1"/>
    <col min="7973" max="7975" width="11.44140625" style="56" hidden="1"/>
    <col min="7976" max="7976" width="30.6640625" style="56" hidden="1"/>
    <col min="7977" max="8184" width="11.44140625" style="56" hidden="1"/>
    <col min="8185" max="8185" width="12.4414062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77734375" style="56" hidden="1"/>
    <col min="8212" max="8212" width="10.109375" style="56" hidden="1"/>
    <col min="8213" max="8213" width="10.44140625" style="56" hidden="1"/>
    <col min="8214" max="8214" width="9.4414062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77734375" style="56" hidden="1"/>
    <col min="8229" max="8231" width="11.44140625" style="56" hidden="1"/>
    <col min="8232" max="8232" width="30.6640625" style="56" hidden="1"/>
    <col min="8233" max="8440" width="11.44140625" style="56" hidden="1"/>
    <col min="8441" max="8441" width="12.4414062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77734375" style="56" hidden="1"/>
    <col min="8468" max="8468" width="10.109375" style="56" hidden="1"/>
    <col min="8469" max="8469" width="10.44140625" style="56" hidden="1"/>
    <col min="8470" max="8470" width="9.4414062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77734375" style="56" hidden="1"/>
    <col min="8485" max="8487" width="11.44140625" style="56" hidden="1"/>
    <col min="8488" max="8488" width="30.6640625" style="56" hidden="1"/>
    <col min="8489" max="8696" width="11.44140625" style="56" hidden="1"/>
    <col min="8697" max="8697" width="12.4414062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77734375" style="56" hidden="1"/>
    <col min="8724" max="8724" width="10.109375" style="56" hidden="1"/>
    <col min="8725" max="8725" width="10.44140625" style="56" hidden="1"/>
    <col min="8726" max="8726" width="9.4414062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77734375" style="56" hidden="1"/>
    <col min="8741" max="8743" width="11.44140625" style="56" hidden="1"/>
    <col min="8744" max="8744" width="30.6640625" style="56" hidden="1"/>
    <col min="8745" max="8952" width="11.44140625" style="56" hidden="1"/>
    <col min="8953" max="8953" width="12.4414062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77734375" style="56" hidden="1"/>
    <col min="8980" max="8980" width="10.109375" style="56" hidden="1"/>
    <col min="8981" max="8981" width="10.44140625" style="56" hidden="1"/>
    <col min="8982" max="8982" width="9.4414062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77734375" style="56" hidden="1"/>
    <col min="8997" max="8999" width="11.44140625" style="56" hidden="1"/>
    <col min="9000" max="9000" width="30.6640625" style="56" hidden="1"/>
    <col min="9001" max="9208" width="11.44140625" style="56" hidden="1"/>
    <col min="9209" max="9209" width="12.4414062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77734375" style="56" hidden="1"/>
    <col min="9236" max="9236" width="10.109375" style="56" hidden="1"/>
    <col min="9237" max="9237" width="10.44140625" style="56" hidden="1"/>
    <col min="9238" max="9238" width="9.4414062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77734375" style="56" hidden="1"/>
    <col min="9253" max="9255" width="11.44140625" style="56" hidden="1"/>
    <col min="9256" max="9256" width="30.6640625" style="56" hidden="1"/>
    <col min="9257" max="9464" width="11.44140625" style="56" hidden="1"/>
    <col min="9465" max="9465" width="12.4414062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77734375" style="56" hidden="1"/>
    <col min="9492" max="9492" width="10.109375" style="56" hidden="1"/>
    <col min="9493" max="9493" width="10.44140625" style="56" hidden="1"/>
    <col min="9494" max="9494" width="9.4414062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77734375" style="56" hidden="1"/>
    <col min="9509" max="9511" width="11.44140625" style="56" hidden="1"/>
    <col min="9512" max="9512" width="30.6640625" style="56" hidden="1"/>
    <col min="9513" max="9720" width="11.44140625" style="56" hidden="1"/>
    <col min="9721" max="9721" width="12.4414062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77734375" style="56" hidden="1"/>
    <col min="9748" max="9748" width="10.109375" style="56" hidden="1"/>
    <col min="9749" max="9749" width="10.44140625" style="56" hidden="1"/>
    <col min="9750" max="9750" width="9.4414062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77734375" style="56" hidden="1"/>
    <col min="9765" max="9767" width="11.44140625" style="56" hidden="1"/>
    <col min="9768" max="9768" width="30.6640625" style="56" hidden="1"/>
    <col min="9769" max="9976" width="11.44140625" style="56" hidden="1"/>
    <col min="9977" max="9977" width="12.4414062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77734375" style="56" hidden="1"/>
    <col min="10004" max="10004" width="10.109375" style="56" hidden="1"/>
    <col min="10005" max="10005" width="10.44140625" style="56" hidden="1"/>
    <col min="10006" max="10006" width="9.4414062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77734375" style="56" hidden="1"/>
    <col min="10021" max="10023" width="11.44140625" style="56" hidden="1"/>
    <col min="10024" max="10024" width="30.6640625" style="56" hidden="1"/>
    <col min="10025" max="10232" width="11.44140625" style="56" hidden="1"/>
    <col min="10233" max="10233" width="12.4414062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77734375" style="56" hidden="1"/>
    <col min="10260" max="10260" width="10.109375" style="56" hidden="1"/>
    <col min="10261" max="10261" width="10.44140625" style="56" hidden="1"/>
    <col min="10262" max="10262" width="9.4414062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77734375" style="56" hidden="1"/>
    <col min="10277" max="10279" width="11.44140625" style="56" hidden="1"/>
    <col min="10280" max="10280" width="30.6640625" style="56" hidden="1"/>
    <col min="10281" max="10488" width="11.44140625" style="56" hidden="1"/>
    <col min="10489" max="10489" width="12.4414062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77734375" style="56" hidden="1"/>
    <col min="10516" max="10516" width="10.109375" style="56" hidden="1"/>
    <col min="10517" max="10517" width="10.44140625" style="56" hidden="1"/>
    <col min="10518" max="10518" width="9.4414062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77734375" style="56" hidden="1"/>
    <col min="10533" max="10535" width="11.44140625" style="56" hidden="1"/>
    <col min="10536" max="10536" width="30.6640625" style="56" hidden="1"/>
    <col min="10537" max="10744" width="11.44140625" style="56" hidden="1"/>
    <col min="10745" max="10745" width="12.4414062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77734375" style="56" hidden="1"/>
    <col min="10772" max="10772" width="10.109375" style="56" hidden="1"/>
    <col min="10773" max="10773" width="10.44140625" style="56" hidden="1"/>
    <col min="10774" max="10774" width="9.4414062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77734375" style="56" hidden="1"/>
    <col min="10789" max="10791" width="11.44140625" style="56" hidden="1"/>
    <col min="10792" max="10792" width="30.6640625" style="56" hidden="1"/>
    <col min="10793" max="11000" width="11.44140625" style="56" hidden="1"/>
    <col min="11001" max="11001" width="12.4414062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77734375" style="56" hidden="1"/>
    <col min="11028" max="11028" width="10.109375" style="56" hidden="1"/>
    <col min="11029" max="11029" width="10.44140625" style="56" hidden="1"/>
    <col min="11030" max="11030" width="9.4414062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77734375" style="56" hidden="1"/>
    <col min="11045" max="11047" width="11.44140625" style="56" hidden="1"/>
    <col min="11048" max="11048" width="30.6640625" style="56" hidden="1"/>
    <col min="11049" max="11256" width="11.44140625" style="56" hidden="1"/>
    <col min="11257" max="11257" width="12.4414062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77734375" style="56" hidden="1"/>
    <col min="11284" max="11284" width="10.109375" style="56" hidden="1"/>
    <col min="11285" max="11285" width="10.44140625" style="56" hidden="1"/>
    <col min="11286" max="11286" width="9.4414062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77734375" style="56" hidden="1"/>
    <col min="11301" max="11303" width="11.44140625" style="56" hidden="1"/>
    <col min="11304" max="11304" width="30.6640625" style="56" hidden="1"/>
    <col min="11305" max="11512" width="11.44140625" style="56" hidden="1"/>
    <col min="11513" max="11513" width="12.4414062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77734375" style="56" hidden="1"/>
    <col min="11540" max="11540" width="10.109375" style="56" hidden="1"/>
    <col min="11541" max="11541" width="10.44140625" style="56" hidden="1"/>
    <col min="11542" max="11542" width="9.4414062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77734375" style="56" hidden="1"/>
    <col min="11557" max="11559" width="11.44140625" style="56" hidden="1"/>
    <col min="11560" max="11560" width="30.6640625" style="56" hidden="1"/>
    <col min="11561" max="11768" width="11.44140625" style="56" hidden="1"/>
    <col min="11769" max="11769" width="12.4414062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77734375" style="56" hidden="1"/>
    <col min="11796" max="11796" width="10.109375" style="56" hidden="1"/>
    <col min="11797" max="11797" width="10.44140625" style="56" hidden="1"/>
    <col min="11798" max="11798" width="9.4414062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77734375" style="56" hidden="1"/>
    <col min="11813" max="11815" width="11.44140625" style="56" hidden="1"/>
    <col min="11816" max="11816" width="30.6640625" style="56" hidden="1"/>
    <col min="11817" max="12024" width="11.44140625" style="56" hidden="1"/>
    <col min="12025" max="12025" width="12.4414062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77734375" style="56" hidden="1"/>
    <col min="12052" max="12052" width="10.109375" style="56" hidden="1"/>
    <col min="12053" max="12053" width="10.44140625" style="56" hidden="1"/>
    <col min="12054" max="12054" width="9.4414062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77734375" style="56" hidden="1"/>
    <col min="12069" max="12071" width="11.44140625" style="56" hidden="1"/>
    <col min="12072" max="12072" width="30.6640625" style="56" hidden="1"/>
    <col min="12073" max="12280" width="11.44140625" style="56" hidden="1"/>
    <col min="12281" max="12281" width="12.4414062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77734375" style="56" hidden="1"/>
    <col min="12308" max="12308" width="10.109375" style="56" hidden="1"/>
    <col min="12309" max="12309" width="10.44140625" style="56" hidden="1"/>
    <col min="12310" max="12310" width="9.4414062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77734375" style="56" hidden="1"/>
    <col min="12325" max="12327" width="11.44140625" style="56" hidden="1"/>
    <col min="12328" max="12328" width="30.6640625" style="56" hidden="1"/>
    <col min="12329" max="12536" width="11.44140625" style="56" hidden="1"/>
    <col min="12537" max="12537" width="12.4414062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77734375" style="56" hidden="1"/>
    <col min="12564" max="12564" width="10.109375" style="56" hidden="1"/>
    <col min="12565" max="12565" width="10.44140625" style="56" hidden="1"/>
    <col min="12566" max="12566" width="9.4414062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77734375" style="56" hidden="1"/>
    <col min="12581" max="12583" width="11.44140625" style="56" hidden="1"/>
    <col min="12584" max="12584" width="30.6640625" style="56" hidden="1"/>
    <col min="12585" max="12792" width="11.44140625" style="56" hidden="1"/>
    <col min="12793" max="12793" width="12.4414062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77734375" style="56" hidden="1"/>
    <col min="12820" max="12820" width="10.109375" style="56" hidden="1"/>
    <col min="12821" max="12821" width="10.44140625" style="56" hidden="1"/>
    <col min="12822" max="12822" width="9.4414062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77734375" style="56" hidden="1"/>
    <col min="12837" max="12839" width="11.44140625" style="56" hidden="1"/>
    <col min="12840" max="12840" width="30.6640625" style="56" hidden="1"/>
    <col min="12841" max="13048" width="11.44140625" style="56" hidden="1"/>
    <col min="13049" max="13049" width="12.4414062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77734375" style="56" hidden="1"/>
    <col min="13076" max="13076" width="10.109375" style="56" hidden="1"/>
    <col min="13077" max="13077" width="10.44140625" style="56" hidden="1"/>
    <col min="13078" max="13078" width="9.4414062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77734375" style="56" hidden="1"/>
    <col min="13093" max="13095" width="11.44140625" style="56" hidden="1"/>
    <col min="13096" max="13096" width="30.6640625" style="56" hidden="1"/>
    <col min="13097" max="13304" width="11.44140625" style="56" hidden="1"/>
    <col min="13305" max="13305" width="12.4414062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77734375" style="56" hidden="1"/>
    <col min="13332" max="13332" width="10.109375" style="56" hidden="1"/>
    <col min="13333" max="13333" width="10.44140625" style="56" hidden="1"/>
    <col min="13334" max="13334" width="9.4414062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77734375" style="56" hidden="1"/>
    <col min="13349" max="13351" width="11.44140625" style="56" hidden="1"/>
    <col min="13352" max="13352" width="30.6640625" style="56" hidden="1"/>
    <col min="13353" max="13560" width="11.44140625" style="56" hidden="1"/>
    <col min="13561" max="13561" width="12.4414062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77734375" style="56" hidden="1"/>
    <col min="13588" max="13588" width="10.109375" style="56" hidden="1"/>
    <col min="13589" max="13589" width="10.44140625" style="56" hidden="1"/>
    <col min="13590" max="13590" width="9.4414062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77734375" style="56" hidden="1"/>
    <col min="13605" max="13607" width="11.44140625" style="56" hidden="1"/>
    <col min="13608" max="13608" width="30.6640625" style="56" hidden="1"/>
    <col min="13609" max="13816" width="11.44140625" style="56" hidden="1"/>
    <col min="13817" max="13817" width="12.4414062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77734375" style="56" hidden="1"/>
    <col min="13844" max="13844" width="10.109375" style="56" hidden="1"/>
    <col min="13845" max="13845" width="10.44140625" style="56" hidden="1"/>
    <col min="13846" max="13846" width="9.4414062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77734375" style="56" hidden="1"/>
    <col min="13861" max="13863" width="11.44140625" style="56" hidden="1"/>
    <col min="13864" max="13864" width="30.6640625" style="56" hidden="1"/>
    <col min="13865" max="14072" width="11.44140625" style="56" hidden="1"/>
    <col min="14073" max="14073" width="12.4414062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77734375" style="56" hidden="1"/>
    <col min="14100" max="14100" width="10.109375" style="56" hidden="1"/>
    <col min="14101" max="14101" width="10.44140625" style="56" hidden="1"/>
    <col min="14102" max="14102" width="9.4414062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77734375" style="56" hidden="1"/>
    <col min="14117" max="14119" width="11.44140625" style="56" hidden="1"/>
    <col min="14120" max="14120" width="30.6640625" style="56" hidden="1"/>
    <col min="14121" max="14328" width="11.44140625" style="56" hidden="1"/>
    <col min="14329" max="14329" width="12.4414062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77734375" style="56" hidden="1"/>
    <col min="14356" max="14356" width="10.109375" style="56" hidden="1"/>
    <col min="14357" max="14357" width="10.44140625" style="56" hidden="1"/>
    <col min="14358" max="14358" width="9.4414062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77734375" style="56" hidden="1"/>
    <col min="14373" max="14375" width="11.44140625" style="56" hidden="1"/>
    <col min="14376" max="14376" width="30.6640625" style="56" hidden="1"/>
    <col min="14377" max="14584" width="11.44140625" style="56" hidden="1"/>
    <col min="14585" max="14585" width="12.4414062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77734375" style="56" hidden="1"/>
    <col min="14612" max="14612" width="10.109375" style="56" hidden="1"/>
    <col min="14613" max="14613" width="10.44140625" style="56" hidden="1"/>
    <col min="14614" max="14614" width="9.4414062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77734375" style="56" hidden="1"/>
    <col min="14629" max="14631" width="11.44140625" style="56" hidden="1"/>
    <col min="14632" max="14632" width="30.6640625" style="56" hidden="1"/>
    <col min="14633" max="14840" width="11.44140625" style="56" hidden="1"/>
    <col min="14841" max="14841" width="12.4414062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77734375" style="56" hidden="1"/>
    <col min="14868" max="14868" width="10.109375" style="56" hidden="1"/>
    <col min="14869" max="14869" width="10.44140625" style="56" hidden="1"/>
    <col min="14870" max="14870" width="9.4414062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77734375" style="56" hidden="1"/>
    <col min="14885" max="14887" width="11.44140625" style="56" hidden="1"/>
    <col min="14888" max="14888" width="30.6640625" style="56" hidden="1"/>
    <col min="14889" max="15096" width="11.44140625" style="56" hidden="1"/>
    <col min="15097" max="15097" width="12.4414062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77734375" style="56" hidden="1"/>
    <col min="15124" max="15124" width="10.109375" style="56" hidden="1"/>
    <col min="15125" max="15125" width="10.44140625" style="56" hidden="1"/>
    <col min="15126" max="15126" width="9.4414062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77734375" style="56" hidden="1"/>
    <col min="15141" max="15143" width="11.44140625" style="56" hidden="1"/>
    <col min="15144" max="15144" width="30.6640625" style="56" hidden="1"/>
    <col min="15145" max="15352" width="11.44140625" style="56" hidden="1"/>
    <col min="15353" max="15353" width="12.4414062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77734375" style="56" hidden="1"/>
    <col min="15380" max="15380" width="10.109375" style="56" hidden="1"/>
    <col min="15381" max="15381" width="10.44140625" style="56" hidden="1"/>
    <col min="15382" max="15382" width="9.4414062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77734375" style="56" hidden="1"/>
    <col min="15397" max="15399" width="11.44140625" style="56" hidden="1"/>
    <col min="15400" max="15400" width="30.6640625" style="56" hidden="1"/>
    <col min="15401" max="15608" width="11.44140625" style="56" hidden="1"/>
    <col min="15609" max="15609" width="12.4414062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77734375" style="56" hidden="1"/>
    <col min="15636" max="15636" width="10.109375" style="56" hidden="1"/>
    <col min="15637" max="15637" width="10.44140625" style="56" hidden="1"/>
    <col min="15638" max="15638" width="9.4414062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77734375" style="56" hidden="1"/>
    <col min="15653" max="15655" width="11.44140625" style="56" hidden="1"/>
    <col min="15656" max="15656" width="30.6640625" style="56" hidden="1"/>
    <col min="15657" max="15864" width="11.44140625" style="56" hidden="1"/>
    <col min="15865" max="15865" width="12.4414062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77734375" style="56" hidden="1"/>
    <col min="15892" max="15892" width="10.109375" style="56" hidden="1"/>
    <col min="15893" max="15893" width="10.44140625" style="56" hidden="1"/>
    <col min="15894" max="15894" width="9.4414062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77734375" style="56" hidden="1"/>
    <col min="15909" max="15911" width="11.44140625" style="56" hidden="1"/>
    <col min="15912" max="15912" width="30.6640625" style="56" hidden="1"/>
    <col min="15913" max="16120" width="11.44140625" style="56" hidden="1"/>
    <col min="16121" max="16121" width="12.4414062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77734375" style="56" hidden="1"/>
    <col min="16148" max="16148" width="10.109375" style="56" hidden="1"/>
    <col min="16149" max="16149" width="10.44140625" style="56" hidden="1"/>
    <col min="16150" max="16150" width="9.4414062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77734375" style="56" hidden="1"/>
    <col min="16165" max="16167" width="11.44140625" style="56" hidden="1"/>
    <col min="16168" max="16168" width="30.6640625" style="56" hidden="1"/>
    <col min="16169" max="16384" width="11.44140625" style="56" hidden="1"/>
  </cols>
  <sheetData>
    <row r="1" spans="1:37" x14ac:dyDescent="0.3">
      <c r="A1" s="76" t="s">
        <v>213</v>
      </c>
      <c r="B1" s="151" t="s">
        <v>522</v>
      </c>
      <c r="C1" s="74" t="s">
        <v>180</v>
      </c>
      <c r="D1" s="152" t="s">
        <v>166</v>
      </c>
      <c r="E1" s="226" t="s">
        <v>516</v>
      </c>
      <c r="F1" s="226"/>
      <c r="G1" s="226"/>
      <c r="H1" s="226"/>
      <c r="I1" s="226"/>
      <c r="J1" s="226"/>
      <c r="K1" s="226"/>
      <c r="L1" s="226"/>
      <c r="M1" s="226"/>
      <c r="N1" s="226"/>
      <c r="O1" s="226"/>
      <c r="P1" s="226"/>
      <c r="Q1" s="226"/>
      <c r="R1" s="226"/>
      <c r="S1" s="226"/>
      <c r="T1" s="226"/>
      <c r="U1" s="226"/>
      <c r="V1" s="226"/>
      <c r="W1" s="66"/>
      <c r="X1" s="66"/>
      <c r="Y1" s="66"/>
      <c r="Z1" s="66"/>
      <c r="AA1" s="66"/>
      <c r="AB1" s="66"/>
      <c r="AC1" s="59"/>
      <c r="AD1" s="59"/>
      <c r="AE1" s="59"/>
      <c r="AF1" s="80"/>
      <c r="AG1" s="59"/>
      <c r="AH1" s="59"/>
      <c r="AI1" s="59"/>
      <c r="AJ1" s="59"/>
    </row>
    <row r="2" spans="1:37" x14ac:dyDescent="0.3">
      <c r="A2" s="76" t="s">
        <v>214</v>
      </c>
      <c r="B2" s="151">
        <v>2025</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24" t="s">
        <v>218</v>
      </c>
      <c r="F4" s="224" t="s">
        <v>219</v>
      </c>
      <c r="G4" s="224" t="s">
        <v>220</v>
      </c>
      <c r="H4" s="224" t="s">
        <v>221</v>
      </c>
      <c r="I4" s="224" t="s">
        <v>222</v>
      </c>
      <c r="J4" s="224" t="s">
        <v>223</v>
      </c>
      <c r="K4" s="224" t="s">
        <v>224</v>
      </c>
      <c r="L4" s="224" t="s">
        <v>225</v>
      </c>
      <c r="M4" s="224" t="s">
        <v>226</v>
      </c>
      <c r="N4" s="224" t="s">
        <v>227</v>
      </c>
      <c r="O4" s="224" t="s">
        <v>228</v>
      </c>
      <c r="P4" s="224" t="s">
        <v>229</v>
      </c>
      <c r="Q4" s="224" t="s">
        <v>230</v>
      </c>
      <c r="R4" s="224" t="s">
        <v>231</v>
      </c>
      <c r="S4" s="224" t="s">
        <v>232</v>
      </c>
      <c r="T4" s="224" t="s">
        <v>233</v>
      </c>
      <c r="U4" s="224" t="s">
        <v>234</v>
      </c>
      <c r="V4" s="141" t="s">
        <v>235</v>
      </c>
      <c r="W4" s="142" t="s">
        <v>236</v>
      </c>
      <c r="X4" s="227" t="s">
        <v>237</v>
      </c>
      <c r="Y4" s="228"/>
      <c r="Z4" s="229"/>
      <c r="AA4" s="221" t="s">
        <v>327</v>
      </c>
      <c r="AB4" s="222"/>
      <c r="AC4" s="223"/>
      <c r="AD4" s="142" t="s">
        <v>238</v>
      </c>
      <c r="AE4" s="142" t="s">
        <v>239</v>
      </c>
      <c r="AF4" s="142" t="s">
        <v>240</v>
      </c>
      <c r="AG4" s="141" t="s">
        <v>241</v>
      </c>
      <c r="AH4" s="141" t="s">
        <v>242</v>
      </c>
      <c r="AI4" s="141" t="s">
        <v>243</v>
      </c>
      <c r="AJ4" s="140" t="s">
        <v>244</v>
      </c>
    </row>
    <row r="5" spans="1:37" ht="12.75" customHeight="1" x14ac:dyDescent="0.3">
      <c r="A5" s="143"/>
      <c r="B5" s="144"/>
      <c r="C5" s="145"/>
      <c r="D5" s="146"/>
      <c r="E5" s="225"/>
      <c r="F5" s="225"/>
      <c r="G5" s="225"/>
      <c r="H5" s="225"/>
      <c r="I5" s="225"/>
      <c r="J5" s="225"/>
      <c r="K5" s="225"/>
      <c r="L5" s="225"/>
      <c r="M5" s="225"/>
      <c r="N5" s="225"/>
      <c r="O5" s="225"/>
      <c r="P5" s="225"/>
      <c r="Q5" s="225"/>
      <c r="R5" s="225"/>
      <c r="S5" s="225"/>
      <c r="T5" s="225"/>
      <c r="U5" s="225"/>
      <c r="V5" s="147" t="s">
        <v>245</v>
      </c>
      <c r="W5" s="147" t="s">
        <v>245</v>
      </c>
      <c r="X5" s="148" t="s">
        <v>6</v>
      </c>
      <c r="Y5" s="148" t="s">
        <v>246</v>
      </c>
      <c r="Z5" s="140" t="s">
        <v>247</v>
      </c>
      <c r="AA5" s="148" t="s">
        <v>6</v>
      </c>
      <c r="AB5" s="148" t="s">
        <v>246</v>
      </c>
      <c r="AC5" s="140" t="s">
        <v>247</v>
      </c>
      <c r="AD5" s="147" t="s">
        <v>245</v>
      </c>
      <c r="AE5" s="147" t="s">
        <v>245</v>
      </c>
      <c r="AF5" s="147" t="s">
        <v>245</v>
      </c>
      <c r="AG5" s="149" t="s">
        <v>443</v>
      </c>
      <c r="AH5" s="149" t="s">
        <v>443</v>
      </c>
      <c r="AI5" s="149" t="s">
        <v>443</v>
      </c>
      <c r="AJ5" s="150"/>
      <c r="AK5" s="61"/>
    </row>
    <row r="6" spans="1:37" s="94" customFormat="1" ht="41.4" x14ac:dyDescent="0.3">
      <c r="A6" s="171" t="s">
        <v>249</v>
      </c>
      <c r="B6" s="173" t="s">
        <v>534</v>
      </c>
      <c r="C6" s="173" t="s">
        <v>534</v>
      </c>
      <c r="D6" s="174" t="s">
        <v>533</v>
      </c>
      <c r="E6" s="174"/>
      <c r="F6" s="174"/>
      <c r="G6" s="174"/>
      <c r="H6" s="174"/>
      <c r="I6" s="174"/>
      <c r="J6" s="174"/>
      <c r="K6" s="174"/>
      <c r="L6" s="174"/>
      <c r="M6" s="174"/>
      <c r="N6" s="174"/>
      <c r="O6" s="174" t="s">
        <v>10</v>
      </c>
      <c r="P6" s="174"/>
      <c r="Q6" s="174"/>
      <c r="R6" s="174"/>
      <c r="S6" s="174"/>
      <c r="T6" s="174"/>
      <c r="U6" s="174"/>
      <c r="V6" s="174" t="s">
        <v>398</v>
      </c>
      <c r="W6" s="174" t="s">
        <v>424</v>
      </c>
      <c r="X6" s="182">
        <v>112608</v>
      </c>
      <c r="Y6" s="182"/>
      <c r="Z6" s="182"/>
      <c r="AA6" s="182">
        <v>217171</v>
      </c>
      <c r="AB6" s="182"/>
      <c r="AC6" s="182"/>
      <c r="AD6" s="174" t="s">
        <v>435</v>
      </c>
      <c r="AE6" s="174" t="s">
        <v>438</v>
      </c>
      <c r="AF6" s="174" t="s">
        <v>453</v>
      </c>
      <c r="AG6" s="185"/>
      <c r="AH6" s="185"/>
      <c r="AI6" s="185"/>
      <c r="AJ6" s="175"/>
      <c r="AK6" s="81"/>
    </row>
    <row r="7" spans="1:37" s="95" customFormat="1" x14ac:dyDescent="0.3">
      <c r="A7" s="172" t="s">
        <v>250</v>
      </c>
      <c r="B7" s="176" t="s">
        <v>529</v>
      </c>
      <c r="C7" s="176"/>
      <c r="D7" s="177"/>
      <c r="E7" s="177"/>
      <c r="F7" s="177"/>
      <c r="G7" s="177"/>
      <c r="H7" s="177"/>
      <c r="I7" s="177"/>
      <c r="J7" s="177"/>
      <c r="K7" s="177"/>
      <c r="L7" s="177"/>
      <c r="M7" s="177"/>
      <c r="N7" s="177"/>
      <c r="O7" s="177"/>
      <c r="P7" s="177"/>
      <c r="Q7" s="177"/>
      <c r="R7" s="177"/>
      <c r="S7" s="177"/>
      <c r="T7" s="177"/>
      <c r="U7" s="177"/>
      <c r="V7" s="177"/>
      <c r="W7" s="177"/>
      <c r="X7" s="183"/>
      <c r="Y7" s="183"/>
      <c r="Z7" s="183"/>
      <c r="AA7" s="183"/>
      <c r="AB7" s="183"/>
      <c r="AC7" s="183"/>
      <c r="AD7" s="177"/>
      <c r="AE7" s="177"/>
      <c r="AF7" s="177"/>
      <c r="AG7" s="186"/>
      <c r="AH7" s="186"/>
      <c r="AI7" s="186"/>
      <c r="AJ7" s="178"/>
      <c r="AK7" s="81"/>
    </row>
    <row r="8" spans="1:37" s="81" customFormat="1" x14ac:dyDescent="0.3">
      <c r="A8" s="171" t="s">
        <v>251</v>
      </c>
      <c r="B8" s="173" t="s">
        <v>530</v>
      </c>
      <c r="C8" s="173"/>
      <c r="D8" s="174"/>
      <c r="E8" s="174"/>
      <c r="F8" s="174"/>
      <c r="G8" s="174"/>
      <c r="H8" s="174"/>
      <c r="I8" s="174"/>
      <c r="J8" s="174"/>
      <c r="K8" s="174"/>
      <c r="L8" s="174"/>
      <c r="M8" s="174"/>
      <c r="N8" s="174"/>
      <c r="O8" s="174"/>
      <c r="P8" s="174"/>
      <c r="Q8" s="174"/>
      <c r="R8" s="174"/>
      <c r="S8" s="174"/>
      <c r="T8" s="174"/>
      <c r="U8" s="174"/>
      <c r="V8" s="174"/>
      <c r="W8" s="174"/>
      <c r="X8" s="182"/>
      <c r="Y8" s="182"/>
      <c r="Z8" s="182"/>
      <c r="AA8" s="182"/>
      <c r="AB8" s="182"/>
      <c r="AC8" s="182"/>
      <c r="AD8" s="174"/>
      <c r="AE8" s="174"/>
      <c r="AF8" s="174"/>
      <c r="AG8" s="185"/>
      <c r="AH8" s="185"/>
      <c r="AI8" s="185"/>
      <c r="AJ8" s="175"/>
    </row>
    <row r="9" spans="1:37" s="95" customFormat="1" x14ac:dyDescent="0.3">
      <c r="A9" s="172" t="s">
        <v>252</v>
      </c>
      <c r="B9" s="176" t="s">
        <v>531</v>
      </c>
      <c r="C9" s="176"/>
      <c r="D9" s="177"/>
      <c r="E9" s="177"/>
      <c r="F9" s="177"/>
      <c r="G9" s="177"/>
      <c r="H9" s="177"/>
      <c r="I9" s="177"/>
      <c r="J9" s="177"/>
      <c r="K9" s="177"/>
      <c r="L9" s="177"/>
      <c r="M9" s="177"/>
      <c r="N9" s="177"/>
      <c r="O9" s="177"/>
      <c r="P9" s="177"/>
      <c r="Q9" s="177"/>
      <c r="R9" s="177"/>
      <c r="S9" s="177"/>
      <c r="T9" s="177"/>
      <c r="U9" s="177"/>
      <c r="V9" s="177"/>
      <c r="W9" s="177"/>
      <c r="X9" s="183"/>
      <c r="Y9" s="183"/>
      <c r="Z9" s="183"/>
      <c r="AA9" s="183"/>
      <c r="AB9" s="183"/>
      <c r="AC9" s="183"/>
      <c r="AD9" s="177"/>
      <c r="AE9" s="177"/>
      <c r="AF9" s="177"/>
      <c r="AG9" s="186"/>
      <c r="AH9" s="186"/>
      <c r="AI9" s="186"/>
      <c r="AJ9" s="178"/>
      <c r="AK9" s="81"/>
    </row>
    <row r="10" spans="1:37" s="81" customFormat="1" x14ac:dyDescent="0.3">
      <c r="A10" s="171" t="s">
        <v>253</v>
      </c>
      <c r="B10" s="173" t="s">
        <v>532</v>
      </c>
      <c r="C10" s="173"/>
      <c r="D10" s="174"/>
      <c r="E10" s="174"/>
      <c r="F10" s="174"/>
      <c r="G10" s="174"/>
      <c r="H10" s="174"/>
      <c r="I10" s="174"/>
      <c r="J10" s="174"/>
      <c r="K10" s="174"/>
      <c r="L10" s="174"/>
      <c r="M10" s="174"/>
      <c r="N10" s="174"/>
      <c r="O10" s="174"/>
      <c r="P10" s="174"/>
      <c r="Q10" s="174"/>
      <c r="R10" s="174"/>
      <c r="S10" s="174"/>
      <c r="T10" s="174"/>
      <c r="U10" s="174"/>
      <c r="V10" s="174"/>
      <c r="W10" s="174"/>
      <c r="X10" s="182"/>
      <c r="Y10" s="182"/>
      <c r="Z10" s="182"/>
      <c r="AA10" s="182"/>
      <c r="AB10" s="182"/>
      <c r="AC10" s="182"/>
      <c r="AD10" s="174"/>
      <c r="AE10" s="174"/>
      <c r="AF10" s="174"/>
      <c r="AG10" s="185"/>
      <c r="AH10" s="185"/>
      <c r="AI10" s="185"/>
      <c r="AJ10" s="175"/>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t="s">
        <v>528</v>
      </c>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phoneticPr fontId="59" type="noConversion"/>
  <conditionalFormatting sqref="A6:AJ45">
    <cfRule type="expression" dxfId="226" priority="2">
      <formula>MOD(ROW(),2)=0</formula>
    </cfRule>
    <cfRule type="expression" dxfId="225"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xr:uid="{00000000-0002-0000-0100-000006000000}">
      <formula1>LIST_PPrv</formula1>
    </dataValidation>
    <dataValidation type="list" allowBlank="1" showErrorMessage="1" prompt="Please select from the dropdown list" sqref="AE6: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tabSelected="1" workbookViewId="0">
      <pane xSplit="2" ySplit="4" topLeftCell="C5" activePane="bottomRight" state="frozen"/>
      <selection pane="topRight" activeCell="C1" sqref="C1"/>
      <selection pane="bottomLeft" activeCell="A5" sqref="A5"/>
      <selection pane="bottomRight" activeCell="G14" sqref="G14"/>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 xml:space="preserve">Mutuelle des Enseignants de l'Enseignement Primaire, Secondaire et Technique </v>
      </c>
      <c r="C1" s="164" t="str">
        <f ca="1">IF(OFFSET('Inventaire des régimes'!C5,(_xlfn.SHEET()-2),0)=0,"Name of Scheme in English", OFFSET('Inventaire des régimes'!C5,(_xlfn.SHEET()-2),0))</f>
        <v xml:space="preserve">Mutuelle des Enseignants de l'Enseignement Primaire, Secondaire et Technique </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41.4" x14ac:dyDescent="0.3">
      <c r="A5" s="96" t="s">
        <v>355</v>
      </c>
      <c r="B5" s="173" t="s">
        <v>534</v>
      </c>
      <c r="C5" s="173" t="s">
        <v>534</v>
      </c>
      <c r="D5" s="198" t="s">
        <v>405</v>
      </c>
      <c r="E5" s="191" t="s">
        <v>416</v>
      </c>
      <c r="F5" s="190" t="s">
        <v>421</v>
      </c>
      <c r="G5" s="189" t="s">
        <v>423</v>
      </c>
      <c r="H5" s="189" t="s">
        <v>398</v>
      </c>
      <c r="I5" s="205">
        <v>112608</v>
      </c>
      <c r="J5" s="205"/>
      <c r="K5" s="205"/>
      <c r="L5" s="206">
        <v>217171</v>
      </c>
      <c r="M5" s="207"/>
      <c r="N5" s="207"/>
      <c r="O5" s="192" t="s">
        <v>428</v>
      </c>
      <c r="P5" s="193"/>
      <c r="Q5" s="219"/>
      <c r="R5" s="192"/>
      <c r="S5" s="192"/>
      <c r="T5" s="194"/>
      <c r="U5" s="194"/>
      <c r="V5" s="194"/>
      <c r="W5" s="195"/>
      <c r="X5" s="195"/>
      <c r="Y5" s="194"/>
      <c r="Z5" s="203"/>
      <c r="AA5" s="189"/>
      <c r="AB5" s="97"/>
    </row>
    <row r="6" spans="1:28" s="63" customFormat="1" x14ac:dyDescent="0.3">
      <c r="A6" s="96" t="s">
        <v>356</v>
      </c>
      <c r="B6" s="196"/>
      <c r="C6" s="196"/>
      <c r="D6" s="198"/>
      <c r="E6" s="199"/>
      <c r="F6" s="200"/>
      <c r="G6" s="197"/>
      <c r="H6" s="197"/>
      <c r="I6" s="208"/>
      <c r="J6" s="208"/>
      <c r="K6" s="208"/>
      <c r="L6" s="209"/>
      <c r="M6" s="209"/>
      <c r="N6" s="209"/>
      <c r="O6" s="193"/>
      <c r="P6" s="193"/>
      <c r="Q6" s="220"/>
      <c r="R6" s="193"/>
      <c r="S6" s="193"/>
      <c r="T6" s="201"/>
      <c r="U6" s="201"/>
      <c r="V6" s="201"/>
      <c r="W6" s="202"/>
      <c r="X6" s="202"/>
      <c r="Y6" s="201"/>
      <c r="Z6" s="204"/>
      <c r="AA6" s="197"/>
      <c r="AB6" s="97"/>
    </row>
    <row r="7" spans="1:28" s="63" customFormat="1" x14ac:dyDescent="0.3">
      <c r="A7" s="96" t="s">
        <v>357</v>
      </c>
      <c r="B7" s="196"/>
      <c r="C7" s="196"/>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523</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conditionalFormatting sqref="B5:C5">
    <cfRule type="expression" dxfId="223" priority="1">
      <formula>MOD(ROW(),2)=0</formula>
    </cfRule>
    <cfRule type="expression" dxfId="222" priority="2">
      <formula>MOD(ROW(),2)=1</formula>
    </cfRule>
  </conditionalFormatting>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extLst>
    <ext xmlns:x14="http://schemas.microsoft.com/office/spreadsheetml/2009/9/main" uri="{78C0D931-6437-407d-A8EE-F0AAD7539E65}">
      <x14:conditionalFormattings>
        <x14:conditionalFormatting xmlns:xm="http://schemas.microsoft.com/office/excel/2006/main">
          <x14:cfRule type="expression" priority="13"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8"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8"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30"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219"/>
      <c r="R5" s="192"/>
      <c r="S5" s="192"/>
      <c r="T5" s="194"/>
      <c r="U5" s="194"/>
      <c r="V5" s="194"/>
      <c r="W5" s="195"/>
      <c r="X5" s="195"/>
      <c r="Y5" s="194"/>
      <c r="Z5" s="203"/>
      <c r="AA5" s="189"/>
      <c r="AB5" s="97"/>
    </row>
    <row r="6" spans="1:28" s="63" customFormat="1" ht="13.8" x14ac:dyDescent="0.3">
      <c r="A6" s="96" t="s">
        <v>356</v>
      </c>
      <c r="B6" s="196"/>
      <c r="C6" s="196"/>
      <c r="D6" s="198"/>
      <c r="E6" s="199"/>
      <c r="F6" s="200"/>
      <c r="G6" s="197"/>
      <c r="H6" s="197"/>
      <c r="I6" s="208"/>
      <c r="J6" s="208"/>
      <c r="K6" s="208"/>
      <c r="L6" s="209"/>
      <c r="M6" s="209"/>
      <c r="N6" s="209"/>
      <c r="O6" s="193"/>
      <c r="P6" s="193"/>
      <c r="Q6" s="220"/>
      <c r="R6" s="193"/>
      <c r="S6" s="193"/>
      <c r="T6" s="201"/>
      <c r="U6" s="201"/>
      <c r="V6" s="201"/>
      <c r="W6" s="202"/>
      <c r="X6" s="202"/>
      <c r="Y6" s="201"/>
      <c r="Z6" s="204"/>
      <c r="AA6" s="197"/>
      <c r="AB6" s="97"/>
    </row>
    <row r="7" spans="1:28" s="63" customFormat="1" ht="13.8" x14ac:dyDescent="0.3">
      <c r="A7" s="96" t="s">
        <v>357</v>
      </c>
      <c r="B7" s="196"/>
      <c r="C7" s="196"/>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524</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561FF008-9A30-43F8-B715-5530CBBA4E5F}">
            <xm:f>$D15=HID_dropdown!$B$2</xm:f>
            <x14:dxf>
              <fill>
                <patternFill>
                  <bgColor rgb="FFF3EBF9"/>
                </patternFill>
              </fill>
            </x14:dxf>
          </x14:cfRule>
          <xm:sqref>W15:X19</xm:sqref>
        </x14:conditionalFormatting>
        <x14:conditionalFormatting xmlns:xm="http://schemas.microsoft.com/office/excel/2006/main">
          <x14:cfRule type="expression" priority="6" id="{666D00BB-76B6-4BFB-A3B6-FA3A07CD5F17}">
            <xm:f>$O15=HID_dropdown!$G$3</xm:f>
            <x14:dxf>
              <fill>
                <patternFill>
                  <bgColor theme="1"/>
                </patternFill>
              </fill>
            </x14:dxf>
          </x14:cfRule>
          <xm:sqref>P15:R19</xm:sqref>
        </x14:conditionalFormatting>
        <x14:conditionalFormatting xmlns:xm="http://schemas.microsoft.com/office/excel/2006/main">
          <x14:cfRule type="expression" priority="7" id="{4F6AD9C2-BCA4-4BAD-9318-5065E46FF058}">
            <xm:f>$H15=HID_dropdown!$A$3</xm:f>
            <x14:dxf>
              <fill>
                <patternFill>
                  <bgColor theme="1"/>
                </patternFill>
              </fill>
              <border>
                <left style="thin">
                  <color auto="1"/>
                </left>
                <right style="thin">
                  <color auto="1"/>
                </right>
                <top style="thin">
                  <color auto="1"/>
                </top>
                <bottom style="thin">
                  <color auto="1"/>
                </bottom>
              </border>
            </x14:dxf>
          </x14:cfRule>
          <xm:sqref>I15:K19 T15:T19</xm:sqref>
        </x14:conditionalFormatting>
        <x14:conditionalFormatting xmlns:xm="http://schemas.microsoft.com/office/excel/2006/main">
          <x14:cfRule type="expression" priority="8" id="{FDDB06D2-73A0-4C3F-ABD7-23F8E85C1A3D}">
            <xm:f>$H15=HID_dropdown!$A$2</xm:f>
            <x14:dxf>
              <fill>
                <patternFill>
                  <bgColor theme="1"/>
                </patternFill>
              </fill>
            </x14:dxf>
          </x14:cfRule>
          <xm:sqref>U15:V19</xm:sqref>
        </x14:conditionalFormatting>
        <x14:conditionalFormatting xmlns:xm="http://schemas.microsoft.com/office/excel/2006/main">
          <x14:cfRule type="expression" priority="1" id="{483ECA78-0C8C-4EC3-9B71-160294096676}">
            <xm:f>$D5=HID_dropdown!$B$2</xm:f>
            <x14:dxf>
              <fill>
                <patternFill>
                  <bgColor rgb="FFF3EBF9"/>
                </patternFill>
              </fill>
            </x14:dxf>
          </x14:cfRule>
          <xm:sqref>W5:X14</xm:sqref>
        </x14:conditionalFormatting>
        <x14:conditionalFormatting xmlns:xm="http://schemas.microsoft.com/office/excel/2006/main">
          <x14:cfRule type="expression" priority="2" id="{5EF90340-7C00-4AB3-8BD5-6822C2AB5BEF}">
            <xm:f>$O5=HID_dropdown!$G$3</xm:f>
            <x14:dxf>
              <fill>
                <patternFill>
                  <bgColor theme="1"/>
                </patternFill>
              </fill>
            </x14:dxf>
          </x14:cfRule>
          <xm:sqref>P5:R14</xm:sqref>
        </x14:conditionalFormatting>
        <x14:conditionalFormatting xmlns:xm="http://schemas.microsoft.com/office/excel/2006/main">
          <x14:cfRule type="expression" priority="3" id="{3A347128-4DCE-4209-97A3-80ED35F9AD62}">
            <xm:f>$H5=HID_dropdown!$A$3</xm:f>
            <x14:dxf>
              <fill>
                <patternFill>
                  <bgColor theme="1"/>
                </patternFill>
              </fill>
              <border>
                <left style="thin">
                  <color auto="1"/>
                </left>
                <right style="thin">
                  <color auto="1"/>
                </right>
                <top style="thin">
                  <color auto="1"/>
                </top>
                <bottom style="thin">
                  <color auto="1"/>
                </bottom>
              </border>
            </x14:dxf>
          </x14:cfRule>
          <xm:sqref>I5:K14 T5:T14</xm:sqref>
        </x14:conditionalFormatting>
        <x14:conditionalFormatting xmlns:xm="http://schemas.microsoft.com/office/excel/2006/main">
          <x14:cfRule type="expression" priority="4" id="{DE329E70-F3E5-4B37-949D-B36E18DA5984}">
            <xm:f>$H5=HID_dropdown!$A$2</xm:f>
            <x14:dxf>
              <fill>
                <patternFill>
                  <bgColor theme="1"/>
                </patternFill>
              </fill>
            </x14:dxf>
          </x14:cfRule>
          <xm:sqref>U5:V14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AA14"/>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219"/>
      <c r="R5" s="192"/>
      <c r="S5" s="192"/>
      <c r="T5" s="194"/>
      <c r="U5" s="194"/>
      <c r="V5" s="194"/>
      <c r="W5" s="195"/>
      <c r="X5" s="195"/>
      <c r="Y5" s="194"/>
      <c r="Z5" s="203"/>
      <c r="AA5" s="189"/>
      <c r="AB5" s="97"/>
    </row>
    <row r="6" spans="1:28" s="63" customFormat="1" ht="13.8" x14ac:dyDescent="0.3">
      <c r="A6" s="96" t="s">
        <v>356</v>
      </c>
      <c r="B6" s="196"/>
      <c r="C6" s="196"/>
      <c r="D6" s="198"/>
      <c r="E6" s="199"/>
      <c r="F6" s="200"/>
      <c r="G6" s="197"/>
      <c r="H6" s="197"/>
      <c r="I6" s="208"/>
      <c r="J6" s="208"/>
      <c r="K6" s="208"/>
      <c r="L6" s="209"/>
      <c r="M6" s="209"/>
      <c r="N6" s="209"/>
      <c r="O6" s="193"/>
      <c r="P6" s="193"/>
      <c r="Q6" s="220"/>
      <c r="R6" s="193"/>
      <c r="S6" s="193"/>
      <c r="T6" s="201"/>
      <c r="U6" s="201"/>
      <c r="V6" s="201"/>
      <c r="W6" s="202"/>
      <c r="X6" s="202"/>
      <c r="Y6" s="201"/>
      <c r="Z6" s="204"/>
      <c r="AA6" s="197"/>
      <c r="AB6" s="97"/>
    </row>
    <row r="7" spans="1:28" s="63" customFormat="1" ht="13.8" x14ac:dyDescent="0.3">
      <c r="A7" s="96" t="s">
        <v>357</v>
      </c>
      <c r="B7" s="196"/>
      <c r="C7" s="196"/>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525</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D32D5A2D-ED37-4868-B14E-22D5279AFDCD}">
            <xm:f>$D15=HID_dropdown!$B$2</xm:f>
            <x14:dxf>
              <fill>
                <patternFill>
                  <bgColor rgb="FFF3EBF9"/>
                </patternFill>
              </fill>
            </x14:dxf>
          </x14:cfRule>
          <xm:sqref>W15:X19</xm:sqref>
        </x14:conditionalFormatting>
        <x14:conditionalFormatting xmlns:xm="http://schemas.microsoft.com/office/excel/2006/main">
          <x14:cfRule type="expression" priority="6" id="{8C2AFAE1-B627-4890-B04F-8ECD4313B51F}">
            <xm:f>$O15=HID_dropdown!$G$3</xm:f>
            <x14:dxf>
              <fill>
                <patternFill>
                  <bgColor theme="1"/>
                </patternFill>
              </fill>
            </x14:dxf>
          </x14:cfRule>
          <xm:sqref>P15:R19</xm:sqref>
        </x14:conditionalFormatting>
        <x14:conditionalFormatting xmlns:xm="http://schemas.microsoft.com/office/excel/2006/main">
          <x14:cfRule type="expression" priority="7" id="{29119D76-E96D-48D5-BFBA-A1BE7B8A7004}">
            <xm:f>$H15=HID_dropdown!$A$3</xm:f>
            <x14:dxf>
              <fill>
                <patternFill>
                  <bgColor theme="1"/>
                </patternFill>
              </fill>
              <border>
                <left style="thin">
                  <color auto="1"/>
                </left>
                <right style="thin">
                  <color auto="1"/>
                </right>
                <top style="thin">
                  <color auto="1"/>
                </top>
                <bottom style="thin">
                  <color auto="1"/>
                </bottom>
              </border>
            </x14:dxf>
          </x14:cfRule>
          <xm:sqref>I15:K19 T15:T19</xm:sqref>
        </x14:conditionalFormatting>
        <x14:conditionalFormatting xmlns:xm="http://schemas.microsoft.com/office/excel/2006/main">
          <x14:cfRule type="expression" priority="8" id="{145EFEEB-419B-4471-B5E7-E1DA98D503F2}">
            <xm:f>$H15=HID_dropdown!$A$2</xm:f>
            <x14:dxf>
              <fill>
                <patternFill>
                  <bgColor theme="1"/>
                </patternFill>
              </fill>
            </x14:dxf>
          </x14:cfRule>
          <xm:sqref>U15:V19</xm:sqref>
        </x14:conditionalFormatting>
        <x14:conditionalFormatting xmlns:xm="http://schemas.microsoft.com/office/excel/2006/main">
          <x14:cfRule type="expression" priority="1" id="{33597091-96EE-479B-B89E-D489D57767AF}">
            <xm:f>$D5=HID_dropdown!$B$2</xm:f>
            <x14:dxf>
              <fill>
                <patternFill>
                  <bgColor rgb="FFF3EBF9"/>
                </patternFill>
              </fill>
            </x14:dxf>
          </x14:cfRule>
          <xm:sqref>W5:X14</xm:sqref>
        </x14:conditionalFormatting>
        <x14:conditionalFormatting xmlns:xm="http://schemas.microsoft.com/office/excel/2006/main">
          <x14:cfRule type="expression" priority="2" id="{285E8B07-4B9A-4A36-9A4D-B6FB6363A82B}">
            <xm:f>$O5=HID_dropdown!$G$3</xm:f>
            <x14:dxf>
              <fill>
                <patternFill>
                  <bgColor theme="1"/>
                </patternFill>
              </fill>
            </x14:dxf>
          </x14:cfRule>
          <xm:sqref>P5:R14</xm:sqref>
        </x14:conditionalFormatting>
        <x14:conditionalFormatting xmlns:xm="http://schemas.microsoft.com/office/excel/2006/main">
          <x14:cfRule type="expression" priority="3" id="{31319ED6-0251-491F-ADBA-F9FAEA0084BC}">
            <xm:f>$H5=HID_dropdown!$A$3</xm:f>
            <x14:dxf>
              <fill>
                <patternFill>
                  <bgColor theme="1"/>
                </patternFill>
              </fill>
              <border>
                <left style="thin">
                  <color auto="1"/>
                </left>
                <right style="thin">
                  <color auto="1"/>
                </right>
                <top style="thin">
                  <color auto="1"/>
                </top>
                <bottom style="thin">
                  <color auto="1"/>
                </bottom>
              </border>
            </x14:dxf>
          </x14:cfRule>
          <xm:sqref>I5:K14 T5:T14</xm:sqref>
        </x14:conditionalFormatting>
        <x14:conditionalFormatting xmlns:xm="http://schemas.microsoft.com/office/excel/2006/main">
          <x14:cfRule type="expression" priority="4" id="{1D51A550-759F-4DFE-974B-69E5036AA27B}">
            <xm:f>$H5=HID_dropdown!$A$2</xm:f>
            <x14:dxf>
              <fill>
                <patternFill>
                  <bgColor theme="1"/>
                </patternFill>
              </fill>
            </x14:dxf>
          </x14:cfRule>
          <xm:sqref>U5:V14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K5" activePane="bottomRight" state="frozen"/>
      <selection pane="topRight" activeCell="C1" sqref="C1"/>
      <selection pane="bottomLeft" activeCell="A5" sqref="A5"/>
      <selection pane="bottomRight" activeCell="B5" sqref="B5:AA14"/>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4</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219"/>
      <c r="R5" s="192"/>
      <c r="S5" s="192"/>
      <c r="T5" s="194"/>
      <c r="U5" s="194"/>
      <c r="V5" s="194"/>
      <c r="W5" s="195"/>
      <c r="X5" s="195"/>
      <c r="Y5" s="194"/>
      <c r="Z5" s="203"/>
      <c r="AA5" s="189"/>
      <c r="AB5" s="97"/>
    </row>
    <row r="6" spans="1:28" s="63" customFormat="1" ht="13.8" x14ac:dyDescent="0.3">
      <c r="A6" s="96" t="s">
        <v>356</v>
      </c>
      <c r="B6" s="196"/>
      <c r="C6" s="196"/>
      <c r="D6" s="198"/>
      <c r="E6" s="199"/>
      <c r="F6" s="200"/>
      <c r="G6" s="197"/>
      <c r="H6" s="197"/>
      <c r="I6" s="208"/>
      <c r="J6" s="208"/>
      <c r="K6" s="208"/>
      <c r="L6" s="209"/>
      <c r="M6" s="209"/>
      <c r="N6" s="209"/>
      <c r="O6" s="193"/>
      <c r="P6" s="193"/>
      <c r="Q6" s="220"/>
      <c r="R6" s="193"/>
      <c r="S6" s="193"/>
      <c r="T6" s="201"/>
      <c r="U6" s="201"/>
      <c r="V6" s="201"/>
      <c r="W6" s="202"/>
      <c r="X6" s="202"/>
      <c r="Y6" s="201"/>
      <c r="Z6" s="204"/>
      <c r="AA6" s="197"/>
      <c r="AB6" s="97"/>
    </row>
    <row r="7" spans="1:28" s="63" customFormat="1" ht="13.8" x14ac:dyDescent="0.3">
      <c r="A7" s="96" t="s">
        <v>357</v>
      </c>
      <c r="B7" s="196"/>
      <c r="C7" s="196"/>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F04A4E6E-533C-47FC-8A0C-A737F75E0084}">
            <xm:f>$D15=HID_dropdown!$B$2</xm:f>
            <x14:dxf>
              <fill>
                <patternFill>
                  <bgColor rgb="FFF3EBF9"/>
                </patternFill>
              </fill>
            </x14:dxf>
          </x14:cfRule>
          <xm:sqref>W15:X19</xm:sqref>
        </x14:conditionalFormatting>
        <x14:conditionalFormatting xmlns:xm="http://schemas.microsoft.com/office/excel/2006/main">
          <x14:cfRule type="expression" priority="6" id="{0F2B8F1C-7900-47E3-8A0C-1D587CFDE7C3}">
            <xm:f>$O15=HID_dropdown!$G$3</xm:f>
            <x14:dxf>
              <fill>
                <patternFill>
                  <bgColor theme="1"/>
                </patternFill>
              </fill>
            </x14:dxf>
          </x14:cfRule>
          <xm:sqref>P15:R19</xm:sqref>
        </x14:conditionalFormatting>
        <x14:conditionalFormatting xmlns:xm="http://schemas.microsoft.com/office/excel/2006/main">
          <x14:cfRule type="expression" priority="7" id="{D97C6875-2BCC-4285-B91F-3B28C34C2174}">
            <xm:f>$H15=HID_dropdown!$A$3</xm:f>
            <x14:dxf>
              <fill>
                <patternFill>
                  <bgColor theme="1"/>
                </patternFill>
              </fill>
              <border>
                <left style="thin">
                  <color auto="1"/>
                </left>
                <right style="thin">
                  <color auto="1"/>
                </right>
                <top style="thin">
                  <color auto="1"/>
                </top>
                <bottom style="thin">
                  <color auto="1"/>
                </bottom>
              </border>
            </x14:dxf>
          </x14:cfRule>
          <xm:sqref>I15:K19 T15:T19</xm:sqref>
        </x14:conditionalFormatting>
        <x14:conditionalFormatting xmlns:xm="http://schemas.microsoft.com/office/excel/2006/main">
          <x14:cfRule type="expression" priority="8" id="{FC385A2D-6ED4-4190-8E69-DB7E03166FF3}">
            <xm:f>$H15=HID_dropdown!$A$2</xm:f>
            <x14:dxf>
              <fill>
                <patternFill>
                  <bgColor theme="1"/>
                </patternFill>
              </fill>
            </x14:dxf>
          </x14:cfRule>
          <xm:sqref>U15:V19</xm:sqref>
        </x14:conditionalFormatting>
        <x14:conditionalFormatting xmlns:xm="http://schemas.microsoft.com/office/excel/2006/main">
          <x14:cfRule type="expression" priority="1" id="{87B885AE-F6F5-4A11-960A-4571BFF4C630}">
            <xm:f>$D5=HID_dropdown!$B$2</xm:f>
            <x14:dxf>
              <fill>
                <patternFill>
                  <bgColor rgb="FFF3EBF9"/>
                </patternFill>
              </fill>
            </x14:dxf>
          </x14:cfRule>
          <xm:sqref>W5:X14</xm:sqref>
        </x14:conditionalFormatting>
        <x14:conditionalFormatting xmlns:xm="http://schemas.microsoft.com/office/excel/2006/main">
          <x14:cfRule type="expression" priority="2" id="{92B0818D-F9A4-46DE-9835-784C19A68BC2}">
            <xm:f>$O5=HID_dropdown!$G$3</xm:f>
            <x14:dxf>
              <fill>
                <patternFill>
                  <bgColor theme="1"/>
                </patternFill>
              </fill>
            </x14:dxf>
          </x14:cfRule>
          <xm:sqref>P5:R14</xm:sqref>
        </x14:conditionalFormatting>
        <x14:conditionalFormatting xmlns:xm="http://schemas.microsoft.com/office/excel/2006/main">
          <x14:cfRule type="expression" priority="3" id="{A0CD7B17-164B-4F94-82A8-AC86E377D4B3}">
            <xm:f>$H5=HID_dropdown!$A$3</xm:f>
            <x14:dxf>
              <fill>
                <patternFill>
                  <bgColor theme="1"/>
                </patternFill>
              </fill>
              <border>
                <left style="thin">
                  <color auto="1"/>
                </left>
                <right style="thin">
                  <color auto="1"/>
                </right>
                <top style="thin">
                  <color auto="1"/>
                </top>
                <bottom style="thin">
                  <color auto="1"/>
                </bottom>
              </border>
            </x14:dxf>
          </x14:cfRule>
          <xm:sqref>I5:K14 T5:T14</xm:sqref>
        </x14:conditionalFormatting>
        <x14:conditionalFormatting xmlns:xm="http://schemas.microsoft.com/office/excel/2006/main">
          <x14:cfRule type="expression" priority="4" id="{D88F31F8-B922-4BC1-9399-13567A89A4FC}">
            <xm:f>$H5=HID_dropdown!$A$2</xm:f>
            <x14:dxf>
              <fill>
                <patternFill>
                  <bgColor theme="1"/>
                </patternFill>
              </fill>
            </x14:dxf>
          </x14:cfRule>
          <xm:sqref>U5:V14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N5" activePane="bottomRight" state="frozen"/>
      <selection pane="topRight" activeCell="C1" sqref="C1"/>
      <selection pane="bottomLeft" activeCell="A5" sqref="A5"/>
      <selection pane="bottomRight" activeCell="B5" sqref="B5:AA14"/>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5</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219"/>
      <c r="R5" s="192"/>
      <c r="S5" s="192"/>
      <c r="T5" s="194"/>
      <c r="U5" s="194"/>
      <c r="V5" s="194"/>
      <c r="W5" s="195"/>
      <c r="X5" s="195"/>
      <c r="Y5" s="194"/>
      <c r="Z5" s="203"/>
      <c r="AA5" s="189"/>
      <c r="AB5" s="97"/>
    </row>
    <row r="6" spans="1:28" s="63" customFormat="1" ht="13.8" x14ac:dyDescent="0.3">
      <c r="A6" s="96" t="s">
        <v>356</v>
      </c>
      <c r="B6" s="196"/>
      <c r="C6" s="196"/>
      <c r="D6" s="198"/>
      <c r="E6" s="199"/>
      <c r="F6" s="200"/>
      <c r="G6" s="197"/>
      <c r="H6" s="197"/>
      <c r="I6" s="208"/>
      <c r="J6" s="208"/>
      <c r="K6" s="208"/>
      <c r="L6" s="209"/>
      <c r="M6" s="209"/>
      <c r="N6" s="209"/>
      <c r="O6" s="193"/>
      <c r="P6" s="193"/>
      <c r="Q6" s="220"/>
      <c r="R6" s="193"/>
      <c r="S6" s="193"/>
      <c r="T6" s="201"/>
      <c r="U6" s="201"/>
      <c r="V6" s="201"/>
      <c r="W6" s="202"/>
      <c r="X6" s="202"/>
      <c r="Y6" s="201"/>
      <c r="Z6" s="204"/>
      <c r="AA6" s="197"/>
      <c r="AB6" s="97"/>
    </row>
    <row r="7" spans="1:28" s="63" customFormat="1" ht="13.8" x14ac:dyDescent="0.3">
      <c r="A7" s="96" t="s">
        <v>357</v>
      </c>
      <c r="B7" s="196"/>
      <c r="C7" s="196"/>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527</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D471ED16-C356-4748-84D8-5E7B70508B05}">
            <xm:f>$D15=HID_dropdown!$B$2</xm:f>
            <x14:dxf>
              <fill>
                <patternFill>
                  <bgColor rgb="FFF3EBF9"/>
                </patternFill>
              </fill>
            </x14:dxf>
          </x14:cfRule>
          <xm:sqref>W15:X19</xm:sqref>
        </x14:conditionalFormatting>
        <x14:conditionalFormatting xmlns:xm="http://schemas.microsoft.com/office/excel/2006/main">
          <x14:cfRule type="expression" priority="6" id="{44877E89-54FD-474C-8DA1-247F5ED3B271}">
            <xm:f>$O15=HID_dropdown!$G$3</xm:f>
            <x14:dxf>
              <fill>
                <patternFill>
                  <bgColor theme="1"/>
                </patternFill>
              </fill>
            </x14:dxf>
          </x14:cfRule>
          <xm:sqref>P15:R19</xm:sqref>
        </x14:conditionalFormatting>
        <x14:conditionalFormatting xmlns:xm="http://schemas.microsoft.com/office/excel/2006/main">
          <x14:cfRule type="expression" priority="7" id="{1482D3A9-E117-4E30-9532-A209121CC532}">
            <xm:f>$H15=HID_dropdown!$A$3</xm:f>
            <x14:dxf>
              <fill>
                <patternFill>
                  <bgColor theme="1"/>
                </patternFill>
              </fill>
              <border>
                <left style="thin">
                  <color auto="1"/>
                </left>
                <right style="thin">
                  <color auto="1"/>
                </right>
                <top style="thin">
                  <color auto="1"/>
                </top>
                <bottom style="thin">
                  <color auto="1"/>
                </bottom>
              </border>
            </x14:dxf>
          </x14:cfRule>
          <xm:sqref>I15:K19 T15:T19</xm:sqref>
        </x14:conditionalFormatting>
        <x14:conditionalFormatting xmlns:xm="http://schemas.microsoft.com/office/excel/2006/main">
          <x14:cfRule type="expression" priority="8" id="{F2532B19-D2F4-4710-8C73-F13E6D78A7BF}">
            <xm:f>$H15=HID_dropdown!$A$2</xm:f>
            <x14:dxf>
              <fill>
                <patternFill>
                  <bgColor theme="1"/>
                </patternFill>
              </fill>
            </x14:dxf>
          </x14:cfRule>
          <xm:sqref>U15:V19</xm:sqref>
        </x14:conditionalFormatting>
        <x14:conditionalFormatting xmlns:xm="http://schemas.microsoft.com/office/excel/2006/main">
          <x14:cfRule type="expression" priority="1" id="{9C51F1A8-5061-4A65-942C-290930245632}">
            <xm:f>$D5=HID_dropdown!$B$2</xm:f>
            <x14:dxf>
              <fill>
                <patternFill>
                  <bgColor rgb="FFF3EBF9"/>
                </patternFill>
              </fill>
            </x14:dxf>
          </x14:cfRule>
          <xm:sqref>W5:X14</xm:sqref>
        </x14:conditionalFormatting>
        <x14:conditionalFormatting xmlns:xm="http://schemas.microsoft.com/office/excel/2006/main">
          <x14:cfRule type="expression" priority="2" id="{28257FA1-AE54-4716-B3FA-3FEB5C80FB42}">
            <xm:f>$O5=HID_dropdown!$G$3</xm:f>
            <x14:dxf>
              <fill>
                <patternFill>
                  <bgColor theme="1"/>
                </patternFill>
              </fill>
            </x14:dxf>
          </x14:cfRule>
          <xm:sqref>P5:R14</xm:sqref>
        </x14:conditionalFormatting>
        <x14:conditionalFormatting xmlns:xm="http://schemas.microsoft.com/office/excel/2006/main">
          <x14:cfRule type="expression" priority="3" id="{8A2D27D2-F01A-4270-AB2F-F2A13A22494A}">
            <xm:f>$H5=HID_dropdown!$A$3</xm:f>
            <x14:dxf>
              <fill>
                <patternFill>
                  <bgColor theme="1"/>
                </patternFill>
              </fill>
              <border>
                <left style="thin">
                  <color auto="1"/>
                </left>
                <right style="thin">
                  <color auto="1"/>
                </right>
                <top style="thin">
                  <color auto="1"/>
                </top>
                <bottom style="thin">
                  <color auto="1"/>
                </bottom>
              </border>
            </x14:dxf>
          </x14:cfRule>
          <xm:sqref>I5:K14 T5:T14</xm:sqref>
        </x14:conditionalFormatting>
        <x14:conditionalFormatting xmlns:xm="http://schemas.microsoft.com/office/excel/2006/main">
          <x14:cfRule type="expression" priority="4" id="{8C9E5E6C-AAFE-4125-8683-30F945F7DA88}">
            <xm:f>$H5=HID_dropdown!$A$2</xm:f>
            <x14:dxf>
              <fill>
                <patternFill>
                  <bgColor theme="1"/>
                </patternFill>
              </fill>
            </x14:dxf>
          </x14:cfRule>
          <xm:sqref>U5:V14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33" t="s">
        <v>370</v>
      </c>
      <c r="B4" s="233"/>
      <c r="C4" s="233"/>
      <c r="D4" s="233"/>
      <c r="E4" s="233"/>
      <c r="F4" s="233"/>
      <c r="G4" s="233"/>
    </row>
    <row r="5" spans="1:7" ht="15" customHeight="1" x14ac:dyDescent="0.3">
      <c r="A5" s="125"/>
      <c r="B5" s="234" t="s">
        <v>376</v>
      </c>
      <c r="C5" s="235"/>
      <c r="D5" s="234" t="s">
        <v>377</v>
      </c>
      <c r="E5" s="235"/>
      <c r="F5" s="234" t="s">
        <v>378</v>
      </c>
      <c r="G5" s="235"/>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36"/>
      <c r="C28" s="236"/>
      <c r="D28" s="88" t="s">
        <v>17</v>
      </c>
      <c r="E28" s="236"/>
      <c r="F28" s="236"/>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4414062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44140625" style="1" customWidth="1"/>
    <col min="6" max="6" width="11.109375" style="10" customWidth="1"/>
    <col min="7" max="7" width="8.109375" style="1" customWidth="1"/>
    <col min="8" max="8" width="7.44140625" style="1" bestFit="1" customWidth="1"/>
    <col min="9" max="11" width="10.777343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37" t="s">
        <v>163</v>
      </c>
      <c r="G1" s="237"/>
      <c r="H1" s="237"/>
      <c r="I1" s="238" t="s">
        <v>164</v>
      </c>
      <c r="J1" s="238"/>
      <c r="K1" s="238"/>
      <c r="L1" s="239" t="s">
        <v>148</v>
      </c>
      <c r="M1" s="239"/>
      <c r="N1" s="239"/>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43" t="s">
        <v>161</v>
      </c>
      <c r="G3" s="243"/>
      <c r="H3" s="243"/>
      <c r="I3" s="42">
        <f>'ADDITIONAL statistics for SDGs'!B9</f>
        <v>0</v>
      </c>
      <c r="J3" s="43" t="s">
        <v>18</v>
      </c>
      <c r="K3" s="43" t="s">
        <v>18</v>
      </c>
      <c r="L3" s="44" t="e">
        <f>20294/I3</f>
        <v>#DIV/0!</v>
      </c>
      <c r="M3" s="43" t="s">
        <v>18</v>
      </c>
      <c r="N3" s="43" t="s">
        <v>18</v>
      </c>
    </row>
    <row r="4" spans="1:14" ht="43.2" x14ac:dyDescent="0.3">
      <c r="A4" s="240"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40"/>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40"/>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40"/>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40"/>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40"/>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40"/>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40"/>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41"/>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40"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40"/>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40"/>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40"/>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40"/>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40"/>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40"/>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40"/>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40"/>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40"/>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40"/>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40"/>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40"/>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40"/>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41"/>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40" t="s">
        <v>118</v>
      </c>
      <c r="B30" s="6" t="s">
        <v>119</v>
      </c>
      <c r="C30" s="242" t="s">
        <v>120</v>
      </c>
      <c r="D30" s="6"/>
      <c r="E30" s="6"/>
      <c r="F30" s="31"/>
      <c r="G30" s="33"/>
      <c r="H30" s="33"/>
      <c r="I30" s="31"/>
      <c r="J30" s="31"/>
      <c r="K30" s="31"/>
      <c r="L30" s="34"/>
      <c r="M30" s="34"/>
      <c r="N30" s="34"/>
    </row>
    <row r="31" spans="1:14" x14ac:dyDescent="0.3">
      <c r="A31" s="240"/>
      <c r="B31" s="7" t="s">
        <v>3</v>
      </c>
      <c r="C31" s="242"/>
      <c r="D31" s="6" t="s">
        <v>121</v>
      </c>
      <c r="E31" s="6" t="s">
        <v>122</v>
      </c>
      <c r="F31" s="31"/>
      <c r="G31" s="31"/>
      <c r="H31" s="31"/>
      <c r="I31" s="31">
        <f>'ADDITIONAL statistics for SDGs'!$B$31</f>
        <v>0</v>
      </c>
      <c r="J31" s="31"/>
      <c r="K31" s="31"/>
      <c r="L31" s="34" t="e">
        <f t="shared" ref="L31:L39" si="4">F31/I31</f>
        <v>#DIV/0!</v>
      </c>
      <c r="M31" s="31"/>
      <c r="N31" s="31"/>
    </row>
    <row r="32" spans="1:14" x14ac:dyDescent="0.3">
      <c r="A32" s="240"/>
      <c r="B32" s="7" t="s">
        <v>4</v>
      </c>
      <c r="C32" s="242"/>
      <c r="D32" s="6" t="s">
        <v>123</v>
      </c>
      <c r="E32" s="6" t="s">
        <v>122</v>
      </c>
      <c r="F32" s="31"/>
      <c r="G32" s="31"/>
      <c r="H32" s="31"/>
      <c r="I32" s="31">
        <f>'ADDITIONAL statistics for SDGs'!$B$31</f>
        <v>0</v>
      </c>
      <c r="J32" s="31"/>
      <c r="K32" s="31"/>
      <c r="L32" s="34" t="e">
        <f t="shared" si="4"/>
        <v>#DIV/0!</v>
      </c>
      <c r="M32" s="31"/>
      <c r="N32" s="31"/>
    </row>
    <row r="33" spans="1:14" x14ac:dyDescent="0.3">
      <c r="A33" s="240"/>
      <c r="B33" s="7" t="s">
        <v>11</v>
      </c>
      <c r="C33" s="242"/>
      <c r="D33" s="6" t="s">
        <v>124</v>
      </c>
      <c r="E33" s="6" t="s">
        <v>122</v>
      </c>
      <c r="F33" s="31"/>
      <c r="G33" s="31"/>
      <c r="H33" s="31"/>
      <c r="I33" s="31">
        <f>'ADDITIONAL statistics for SDGs'!$B$31</f>
        <v>0</v>
      </c>
      <c r="J33" s="31"/>
      <c r="K33" s="31"/>
      <c r="L33" s="34" t="e">
        <f t="shared" si="4"/>
        <v>#DIV/0!</v>
      </c>
      <c r="M33" s="31"/>
      <c r="N33" s="31"/>
    </row>
    <row r="34" spans="1:14" x14ac:dyDescent="0.3">
      <c r="A34" s="240"/>
      <c r="B34" s="7" t="s">
        <v>5</v>
      </c>
      <c r="C34" s="242"/>
      <c r="D34" s="6" t="s">
        <v>125</v>
      </c>
      <c r="E34" s="6" t="s">
        <v>122</v>
      </c>
      <c r="F34" s="31"/>
      <c r="G34" s="31"/>
      <c r="H34" s="31"/>
      <c r="I34" s="31">
        <f>'ADDITIONAL statistics for SDGs'!$B$31</f>
        <v>0</v>
      </c>
      <c r="J34" s="31"/>
      <c r="K34" s="31"/>
      <c r="L34" s="34" t="e">
        <f t="shared" si="4"/>
        <v>#DIV/0!</v>
      </c>
      <c r="M34" s="31"/>
      <c r="N34" s="31"/>
    </row>
    <row r="35" spans="1:14" ht="28.8" x14ac:dyDescent="0.3">
      <c r="A35" s="240"/>
      <c r="B35" s="6" t="s">
        <v>126</v>
      </c>
      <c r="C35" s="244" t="s">
        <v>127</v>
      </c>
      <c r="D35" s="6"/>
      <c r="E35" s="6"/>
      <c r="F35" s="31"/>
      <c r="G35" s="31"/>
      <c r="H35" s="31"/>
      <c r="I35" s="31"/>
      <c r="J35" s="31"/>
      <c r="K35" s="31"/>
      <c r="L35" s="34"/>
      <c r="M35" s="31"/>
      <c r="N35" s="31"/>
    </row>
    <row r="36" spans="1:14" x14ac:dyDescent="0.3">
      <c r="A36" s="240"/>
      <c r="B36" s="7" t="s">
        <v>3</v>
      </c>
      <c r="C36" s="245"/>
      <c r="D36" s="6" t="s">
        <v>128</v>
      </c>
      <c r="E36" s="6" t="s">
        <v>129</v>
      </c>
      <c r="F36" s="31"/>
      <c r="G36" s="33"/>
      <c r="H36" s="33"/>
      <c r="I36" s="33">
        <f>'ADDITIONAL statistics for SDGs'!$B$30</f>
        <v>0</v>
      </c>
      <c r="J36" s="33"/>
      <c r="K36" s="33"/>
      <c r="L36" s="34" t="e">
        <f t="shared" si="4"/>
        <v>#DIV/0!</v>
      </c>
      <c r="M36" s="33"/>
      <c r="N36" s="33"/>
    </row>
    <row r="37" spans="1:14" x14ac:dyDescent="0.3">
      <c r="A37" s="240"/>
      <c r="B37" s="7" t="s">
        <v>4</v>
      </c>
      <c r="C37" s="245"/>
      <c r="D37" s="6" t="s">
        <v>130</v>
      </c>
      <c r="E37" s="6" t="s">
        <v>129</v>
      </c>
      <c r="F37" s="31"/>
      <c r="G37" s="33"/>
      <c r="H37" s="33"/>
      <c r="I37" s="33">
        <f>'ADDITIONAL statistics for SDGs'!B30</f>
        <v>0</v>
      </c>
      <c r="J37" s="33"/>
      <c r="K37" s="33"/>
      <c r="L37" s="34" t="e">
        <f t="shared" si="4"/>
        <v>#DIV/0!</v>
      </c>
      <c r="M37" s="33"/>
      <c r="N37" s="33"/>
    </row>
    <row r="38" spans="1:14" x14ac:dyDescent="0.3">
      <c r="A38" s="240"/>
      <c r="B38" s="7" t="s">
        <v>11</v>
      </c>
      <c r="C38" s="245"/>
      <c r="D38" s="6" t="s">
        <v>131</v>
      </c>
      <c r="E38" s="6" t="s">
        <v>129</v>
      </c>
      <c r="F38" s="31"/>
      <c r="G38" s="33"/>
      <c r="H38" s="33"/>
      <c r="I38" s="33">
        <f>'ADDITIONAL statistics for SDGs'!B30</f>
        <v>0</v>
      </c>
      <c r="J38" s="33"/>
      <c r="K38" s="33"/>
      <c r="L38" s="34" t="e">
        <f t="shared" si="4"/>
        <v>#DIV/0!</v>
      </c>
      <c r="M38" s="33"/>
      <c r="N38" s="33"/>
    </row>
    <row r="39" spans="1:14" x14ac:dyDescent="0.3">
      <c r="A39" s="240"/>
      <c r="B39" s="7" t="s">
        <v>5</v>
      </c>
      <c r="C39" s="245"/>
      <c r="D39" s="6" t="s">
        <v>132</v>
      </c>
      <c r="E39" s="6" t="s">
        <v>129</v>
      </c>
      <c r="F39" s="31"/>
      <c r="G39" s="33"/>
      <c r="H39" s="33"/>
      <c r="I39" s="33">
        <f>'ADDITIONAL statistics for SDGs'!B30</f>
        <v>0</v>
      </c>
      <c r="J39" s="33"/>
      <c r="K39" s="33"/>
      <c r="L39" s="34" t="e">
        <f t="shared" si="4"/>
        <v>#DIV/0!</v>
      </c>
      <c r="M39" s="33"/>
      <c r="N39" s="33"/>
    </row>
    <row r="40" spans="1:14" x14ac:dyDescent="0.3">
      <c r="A40" s="240"/>
      <c r="C40" s="246"/>
      <c r="D40" s="6"/>
      <c r="E40" s="6"/>
      <c r="F40" s="31"/>
      <c r="G40" s="33"/>
      <c r="H40" s="33"/>
      <c r="I40" s="33"/>
      <c r="J40" s="33"/>
      <c r="K40" s="33"/>
      <c r="L40" s="34"/>
      <c r="M40" s="33"/>
      <c r="N40" s="33"/>
    </row>
    <row r="41" spans="1:14" ht="28.8" x14ac:dyDescent="0.3">
      <c r="A41" s="240"/>
      <c r="B41" s="6" t="s">
        <v>133</v>
      </c>
      <c r="C41" s="242" t="s">
        <v>173</v>
      </c>
      <c r="D41" s="6"/>
      <c r="E41" s="6"/>
      <c r="F41" s="31"/>
      <c r="G41" s="33"/>
      <c r="H41" s="33"/>
      <c r="I41" s="33"/>
      <c r="J41" s="33"/>
      <c r="K41" s="33"/>
      <c r="L41" s="34"/>
      <c r="M41" s="33"/>
      <c r="N41" s="33"/>
    </row>
    <row r="42" spans="1:14" x14ac:dyDescent="0.3">
      <c r="A42" s="240"/>
      <c r="B42" s="7" t="s">
        <v>3</v>
      </c>
      <c r="C42" s="242"/>
      <c r="D42" s="6" t="s">
        <v>134</v>
      </c>
      <c r="E42" s="6" t="s">
        <v>135</v>
      </c>
      <c r="F42" s="31"/>
      <c r="G42" s="33"/>
      <c r="H42" s="33"/>
      <c r="I42" s="33">
        <f>'Info Pauvreté'!B23</f>
        <v>0</v>
      </c>
      <c r="J42" s="33"/>
      <c r="K42" s="33"/>
      <c r="L42" s="34" t="e">
        <f>F42/I42</f>
        <v>#DIV/0!</v>
      </c>
      <c r="M42" s="33"/>
      <c r="N42" s="33"/>
    </row>
    <row r="43" spans="1:14" x14ac:dyDescent="0.3">
      <c r="A43" s="240"/>
      <c r="B43" s="7" t="s">
        <v>4</v>
      </c>
      <c r="C43" s="242"/>
      <c r="D43" s="6" t="s">
        <v>136</v>
      </c>
      <c r="E43" s="6" t="s">
        <v>137</v>
      </c>
      <c r="F43" s="31"/>
      <c r="G43" s="33"/>
      <c r="H43" s="33"/>
      <c r="I43" s="33">
        <f>'Info Pauvreté'!B22</f>
        <v>0</v>
      </c>
      <c r="J43" s="33"/>
      <c r="K43" s="33"/>
      <c r="L43" s="34" t="e">
        <f t="shared" ref="L43:L50" si="5">F43/I43</f>
        <v>#DIV/0!</v>
      </c>
      <c r="M43" s="33"/>
      <c r="N43" s="33"/>
    </row>
    <row r="44" spans="1:14" x14ac:dyDescent="0.3">
      <c r="A44" s="240"/>
      <c r="B44" s="7" t="s">
        <v>16</v>
      </c>
      <c r="C44" s="242"/>
      <c r="D44" s="6" t="s">
        <v>138</v>
      </c>
      <c r="E44" s="6" t="s">
        <v>139</v>
      </c>
      <c r="F44" s="31"/>
      <c r="G44" s="33"/>
      <c r="H44" s="33"/>
      <c r="I44" s="33">
        <f>'Info Pauvreté'!B21</f>
        <v>0</v>
      </c>
      <c r="J44" s="33"/>
      <c r="K44" s="33"/>
      <c r="L44" s="34" t="e">
        <f t="shared" si="5"/>
        <v>#DIV/0!</v>
      </c>
      <c r="M44" s="33"/>
      <c r="N44" s="33"/>
    </row>
    <row r="45" spans="1:14" ht="28.8" x14ac:dyDescent="0.3">
      <c r="A45" s="240"/>
      <c r="B45" s="7" t="s">
        <v>140</v>
      </c>
      <c r="C45" s="242"/>
      <c r="D45" s="6" t="s">
        <v>141</v>
      </c>
      <c r="E45" s="6" t="s">
        <v>137</v>
      </c>
      <c r="F45" s="31"/>
      <c r="G45" s="33"/>
      <c r="H45" s="33"/>
      <c r="I45" s="33">
        <f>'Info Pauvreté'!B22</f>
        <v>0</v>
      </c>
      <c r="J45" s="33"/>
      <c r="K45" s="33"/>
      <c r="L45" s="34" t="e">
        <f t="shared" si="5"/>
        <v>#DIV/0!</v>
      </c>
      <c r="M45" s="33"/>
      <c r="N45" s="33"/>
    </row>
    <row r="46" spans="1:14" ht="28.8" x14ac:dyDescent="0.3">
      <c r="A46" s="240"/>
      <c r="B46" s="6" t="s">
        <v>142</v>
      </c>
      <c r="C46" s="242" t="s">
        <v>143</v>
      </c>
      <c r="D46" s="6"/>
      <c r="E46" s="6"/>
      <c r="F46" s="31"/>
      <c r="G46" s="33"/>
      <c r="H46" s="33"/>
      <c r="I46" s="33"/>
      <c r="J46" s="33"/>
      <c r="K46" s="33"/>
      <c r="L46" s="34"/>
      <c r="M46" s="33"/>
      <c r="N46" s="33"/>
    </row>
    <row r="47" spans="1:14" x14ac:dyDescent="0.3">
      <c r="A47" s="240"/>
      <c r="B47" s="7" t="s">
        <v>3</v>
      </c>
      <c r="C47" s="242"/>
      <c r="D47" s="6" t="s">
        <v>134</v>
      </c>
      <c r="E47" s="6" t="s">
        <v>144</v>
      </c>
      <c r="F47" s="31"/>
      <c r="G47" s="33"/>
      <c r="H47" s="33"/>
      <c r="I47" s="33">
        <f>'Info Pauvreté'!B20</f>
        <v>0</v>
      </c>
      <c r="J47" s="33"/>
      <c r="K47" s="33"/>
      <c r="L47" s="34" t="e">
        <f t="shared" si="5"/>
        <v>#DIV/0!</v>
      </c>
      <c r="M47" s="33"/>
      <c r="N47" s="33"/>
    </row>
    <row r="48" spans="1:14" x14ac:dyDescent="0.3">
      <c r="A48" s="240"/>
      <c r="B48" s="7" t="s">
        <v>4</v>
      </c>
      <c r="C48" s="242"/>
      <c r="D48" s="6" t="s">
        <v>136</v>
      </c>
      <c r="E48" s="6" t="s">
        <v>145</v>
      </c>
      <c r="F48" s="31"/>
      <c r="G48" s="33"/>
      <c r="H48" s="33"/>
      <c r="I48" s="33">
        <f>'Info Pauvreté'!B19</f>
        <v>0</v>
      </c>
      <c r="J48" s="33"/>
      <c r="K48" s="33"/>
      <c r="L48" s="34" t="e">
        <f t="shared" si="5"/>
        <v>#DIV/0!</v>
      </c>
      <c r="M48" s="33"/>
      <c r="N48" s="33"/>
    </row>
    <row r="49" spans="1:14" x14ac:dyDescent="0.3">
      <c r="A49" s="240"/>
      <c r="B49" s="7" t="s">
        <v>16</v>
      </c>
      <c r="C49" s="242"/>
      <c r="D49" s="6" t="s">
        <v>138</v>
      </c>
      <c r="E49" s="6" t="s">
        <v>146</v>
      </c>
      <c r="F49" s="31"/>
      <c r="G49" s="33"/>
      <c r="H49" s="33"/>
      <c r="I49" s="33">
        <f>'Info Pauvreté'!B18</f>
        <v>0</v>
      </c>
      <c r="J49" s="33"/>
      <c r="K49" s="33"/>
      <c r="L49" s="34" t="e">
        <f t="shared" si="5"/>
        <v>#DIV/0!</v>
      </c>
      <c r="M49" s="33"/>
      <c r="N49" s="33"/>
    </row>
    <row r="50" spans="1:14" ht="28.8" x14ac:dyDescent="0.3">
      <c r="A50" s="240"/>
      <c r="B50" s="7" t="s">
        <v>140</v>
      </c>
      <c r="C50" s="242"/>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2026-09-03T08:41:51Z</dcterms:modified>
</cp:coreProperties>
</file>