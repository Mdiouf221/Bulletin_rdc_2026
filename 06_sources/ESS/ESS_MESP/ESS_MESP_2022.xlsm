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autres ESS/"/>
    </mc:Choice>
  </mc:AlternateContent>
  <xr:revisionPtr revIDLastSave="2" documentId="8_{ADDD0EF6-0A0A-42C3-82D0-4297D6ED7D80}" xr6:coauthVersionLast="47" xr6:coauthVersionMax="47" xr10:uidLastSave="{013D4DAF-009A-4945-9539-D0DCE907BBB7}"/>
  <bookViews>
    <workbookView xWindow="28680" yWindow="-7905" windowWidth="29040" windowHeight="15720" activeTab="2"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<sst xmlns="http://schemas.openxmlformats.org/spreadsheetml/2006/main" count="3090" uniqueCount="530">
  <si>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</si>
  <si>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</si>
  <si>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</si>
  <si>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</si>
  <si>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</si>
  <si>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</si>
  <si>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</si>
  <si>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</si>
  <si>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</si>
  <si>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</si>
  <si>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</si>
  <si>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</si>
  <si>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</si>
  <si>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</si>
  <si>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</si>
  <si>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</si>
  <si>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</si>
  <si>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</si>
  <si>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</si>
  <si>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</si>
  <si>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</si>
  <si>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</si>
  <si>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</si>
  <si>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</si>
  <si>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</si>
  <si>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</si>
  <si>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</si>
  <si>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</si>
  <si>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</si>
  <si>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</si>
  <si>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</si>
  <si>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</si>
  <si>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</si>
  <si>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</si>
  <si>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</si>
  <si>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</si>
  <si>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</si>
  <si>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</si>
  <si>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</si>
  <si>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</si>
  <si>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</si>
  <si>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</si>
  <si>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</si>
  <si>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</si>
  <si>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</si>
  <si>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</si>
  <si>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</si>
  <si>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</si>
  <si>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</si>
  <si>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</si>
  <si>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</si>
  <si>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</si>
  <si>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</si>
  <si>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</si>
  <si>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</si>
  <si>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</si>
  <si>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</si>
  <si>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</si>
  <si>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</si>
  <si>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</si>
  <si>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</si>
  <si>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</si>
  <si>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</si>
  <si>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</si>
  <si>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</si>
  <si>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</si>
  <si>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</si>
  <si>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</si>
  <si>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</si>
  <si>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</si>
  <si>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</si>
  <si>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</si>
  <si>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</si>
  <si>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</si>
  <si>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</si>
  <si>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</si>
  <si>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</si>
  <si>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</si>
  <si>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</si>
  <si>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</si>
  <si>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</si>
  <si>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</si>
  <si>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</si>
  <si>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</si>
  <si>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</si>
  <si>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</si>
  <si>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</si>
  <si>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</si>
  <si>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</si>
  <si>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</si>
  <si>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</si>
  <si>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</si>
  <si>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</si>
  <si>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</si>
  <si>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</si>
  <si>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</si>
  <si>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</si>
  <si>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</si>
  <si>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</si>
  <si>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</si>
  <si>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</si>
  <si>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</si>
  <si>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</si>
  <si>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</si>
  <si>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</si>
  <si>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</si>
  <si>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</si>
  <si>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</si>
  <si>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</si>
  <si>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</si>
  <si>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</si>
  <si>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</si>
  <si>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</si>
  <si>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</si>
  <si>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</si>
  <si>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</si>
  <si>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</si>
  <si>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</si>
  <si>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</si>
  <si>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</si>
  <si>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</si>
  <si>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</si>
  <si>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</si>
  <si>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</si>
  <si>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</si>
  <si>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</si>
  <si>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</si>
  <si>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</si>
  <si>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</si>
  <si>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</si>
  <si>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</si>
  <si>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</si>
  <si>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</si>
  <si>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</si>
  <si>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</si>
  <si>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</si>
  <si>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</si>
  <si>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</si>
  <si>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</si>
  <si>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</si>
  <si>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</si>
  <si>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</si>
  <si>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</si>
  <si>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</si>
  <si>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</si>
  <si>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</si>
  <si>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</si>
  <si>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</si>
  <si>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</si>
  <si>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</si>
  <si>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</si>
  <si>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</si>
  <si>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</si>
  <si>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</si>
  <si>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</si>
  <si>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</si>
  <si>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</si>
  <si>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</si>
  <si>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</si>
  <si>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</si>
  <si>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</si>
  <si>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</si>
  <si>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</si>
  <si>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</si>
  <si>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</si>
  <si>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</si>
  <si>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</si>
  <si>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</si>
  <si>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</si>
  <si>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</si>
  <si>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</si>
  <si>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</si>
  <si>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</si>
  <si>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</si>
  <si>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</si>
  <si>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</si>
  <si>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</si>
  <si>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</si>
  <si>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</si>
  <si>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</si>
  <si>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</si>
  <si>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</si>
  <si>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</si>
  <si>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</si>
  <si>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</si>
  <si>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</si>
  <si>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</si>
  <si>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</si>
  <si>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</si>
  <si>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</si>
  <si>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</si>
  <si>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</si>
  <si>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</si>
  <si>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</si>
  <si>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</si>
  <si>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</si>
  <si>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</si>
  <si>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</si>
  <si>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</si>
  <si>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</si>
  <si>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</si>
  <si>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</si>
  <si>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</si>
  <si>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</si>
  <si>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</si>
  <si>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</si>
  <si>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</si>
  <si>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</si>
  <si>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</si>
  <si>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</si>
  <si>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</si>
  <si>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</si>
  <si>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</si>
  <si>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</si>
  <si>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</si>
  <si>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</si>
  <si>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</si>
  <si>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</si>
  <si>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</si>
  <si>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</si>
  <si>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</si>
  <si>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</si>
  <si>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</si>
  <si>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</si>
  <si>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</si>
  <si>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</si>
  <si>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</si>
  <si>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</si>
  <si>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</si>
  <si>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</si>
  <si>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</si>
  <si>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</si>
  <si>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</si>
  <si>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</si>
  <si>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</si>
  <si>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</si>
  <si>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</si>
  <si>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</si>
  <si>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</si>
  <si>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</si>
  <si>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</si>
  <si>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</si>
  <si>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</si>
  <si>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</si>
  <si>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</si>
  <si>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</si>
  <si>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</si>
  <si>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</si>
  <si>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</si>
  <si>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</si>
  <si>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</si>
  <si>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</si>
  <si>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</si>
  <si>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</si>
  <si>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</si>
  <si>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</si>
  <si>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</si>
  <si>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</si>
  <si>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</si>
  <si>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</si>
  <si>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</si>
  <si>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</si>
  <si>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</si>
  <si>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</si>
  <si>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</si>
  <si>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</si>
  <si>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</si>
  <si>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</si>
  <si>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</si>
  <si>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</si>
  <si>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</si>
  <si>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</si>
  <si>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</si>
  <si>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</si>
  <si>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</si>
  <si>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</si>
  <si>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</si>
  <si>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</si>
  <si>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</si>
  <si>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</si>
  <si>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</si>
  <si>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</si>
  <si>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</si>
  <si>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</si>
  <si>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</si>
  <si>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</si>
  <si>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</si>
  <si>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</si>
  <si>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</si>
  <si>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</si>
  <si>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</si>
  <si>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</si>
  <si>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</si>
  <si>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</si>
  <si>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</si>
  <si>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</si>
  <si>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</si>
  <si>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</si>
  <si>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</si>
  <si>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</si>
  <si>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</si>
  <si>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</si>
  <si>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</si>
  <si>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</si>
  <si>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</si>
  <si>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</si>
  <si>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</si>
  <si>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</si>
  <si>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</si>
  <si>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</si>
  <si>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</si>
  <si>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</si>
  <si>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</si>
  <si>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</si>
  <si>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</si>
  <si>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</si>
  <si>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</si>
  <si>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</si>
  <si>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</si>
  <si>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</si>
  <si>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</si>
  <si>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</si>
  <si>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</si>
  <si>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</si>
  <si>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</si>
  <si>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</si>
  <si>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</si>
  <si>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</si>
  <si>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</si>
  <si>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</si>
  <si>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</si>
  <si>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</si>
  <si>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</si>
  <si>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</si>
  <si>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</si>
  <si>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</si>
  <si>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</si>
  <si>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</si>
  <si>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</si>
  <si>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</si>
  <si>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</si>
  <si>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</si>
  <si>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</si>
  <si>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</si>
  <si>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</si>
  <si>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</si>
  <si>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</si>
  <si>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</si>
  <si>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</si>
  <si>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</si>
  <si>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</si>
  <si>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</si>
  <si>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</si>
  <si>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</si>
  <si>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</si>
  <si>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</si>
  <si>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</si>
  <si>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</si>
  <si>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</si>
  <si>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</si>
  <si>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</si>
  <si>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</si>
  <si>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</si>
  <si>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</si>
  <si>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</si>
  <si>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</si>
  <si>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</si>
  <si>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</si>
  <si>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</si>
  <si>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</si>
  <si>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</si>
  <si>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</si>
  <si>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</si>
  <si>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</si>
  <si>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</si>
  <si>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</si>
  <si>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</si>
  <si>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</si>
  <si>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</si>
  <si>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</si>
  <si>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</si>
  <si>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</si>
  <si>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</si>
  <si>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</si>
  <si>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</si>
  <si>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</si>
  <si>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</si>
  <si>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</si>
  <si>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</si>
  <si>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</si>
  <si>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</si>
  <si>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</si>
  <si>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</si>
  <si>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</si>
  <si>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</si>
  <si>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</si>
  <si>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</si>
  <si>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</si>
  <si>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</si>
  <si>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</si>
  <si>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</si>
  <si>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</si>
  <si>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</si>
  <si>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</si>
  <si>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</si>
  <si>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</si>
  <si>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</si>
  <si>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</si>
  <si>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</si>
  <si>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</si>
  <si>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</si>
  <si>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</si>
  <si>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</si>
  <si>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</si>
  <si>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</si>
  <si>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</si>
  <si>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</si>
  <si>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</si>
  <si>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</si>
  <si>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</si>
  <si>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</si>
  <si>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</si>
  <si>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</si>
  <si>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</si>
  <si>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</si>
  <si>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</si>
  <si>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</si>
  <si>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</si>
  <si>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</si>
  <si>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</si>
  <si>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</si>
  <si>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</si>
  <si>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</si>
  <si>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</si>
  <si>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</si>
  <si>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</si>
  <si>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</si>
  <si>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</si>
  <si>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</si>
  <si>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</si>
  <si>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</si>
  <si>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</si>
  <si>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</si>
  <si>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</si>
  <si>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</si>
  <si>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</si>
  <si>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</si>
  <si>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</si>
  <si>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</si>
  <si>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</si>
  <si>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</si>
  <si>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</si>
  <si>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</si>
  <si>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</si>
  <si>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</si>
  <si>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</si>
  <si>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</si>
  <si>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</si>
  <si>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</si>
  <si>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</si>
  <si>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</si>
  <si>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</si>
  <si>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</si>
  <si>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</si>
  <si>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</si>
  <si>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</si>
  <si>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</si>
  <si>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</si>
  <si>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</si>
  <si>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</si>
  <si>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</si>
  <si>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</si>
  <si>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</si>
  <si>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</si>
  <si>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</si>
  <si>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</si>
  <si>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</si>
  <si>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</si>
  <si>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</si>
  <si>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</si>
  <si>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</si>
  <si>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</si>
  <si>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</si>
  <si>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</si>
  <si>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</si>
  <si>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</si>
  <si>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</si>
  <si>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</si>
  <si>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</si>
  <si>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</si>
  <si>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</si>
  <si>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</si>
  <si>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</si>
  <si>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</si>
  <si>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</si>
  <si>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</si>
  <si>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</si>
  <si>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</si>
  <si>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</si>
  <si>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</si>
  <si>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</si>
  <si>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</si>
  <si>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</si>
  <si>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</si>
  <si>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</si>
  <si>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</si>
  <si>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</si>
  <si>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</si>
  <si>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</si>
  <si>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</si>
  <si>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</si>
  <si>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</si>
  <si>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</si>
  <si>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</si>
  <si>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</si>
  <si>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</si>
  <si>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</si>
  <si>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</si>
  <si>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</si>
  <si>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</si>
  <si>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Direction des Etudes et Organisation</t>
  </si>
  <si>
    <r>
      <rPr>
        <b/>
        <sz val="10"/>
        <rFont val="Arial Narrow"/>
        <family val="2"/>
      </rPr>
      <t xml:space="preserve">Nombre de personnes ayant contribué </t>
    </r>
    <r>
      <rPr>
        <sz val="10"/>
        <rFont val="Arial Narrow"/>
        <family val="2"/>
      </rPr>
      <t>au régime durant de la période de référence (le cas échéant)</t>
    </r>
  </si>
  <si>
    <t>CDF</t>
  </si>
  <si>
    <t>Nom du régime 2</t>
  </si>
  <si>
    <t>Nom du régime 3</t>
  </si>
  <si>
    <t>Nom du régime 4</t>
  </si>
  <si>
    <t>MESP-Couverture Santé des enseignants du secteur public de la République Démocratique du Congo</t>
  </si>
  <si>
    <t>RDC</t>
  </si>
  <si>
    <t xml:space="preserve">MESP </t>
  </si>
  <si>
    <t>Prise en charge  des soins de santé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</si>
</sst>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
      <patternFill patternType="solid">
        <fgColor rgb="FFFFFFFF"/>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3">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9" fillId="20" borderId="0" xfId="0" applyFont="1" applyFill="1"/>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4">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93889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40" zoomScaleNormal="140" workbookViewId="0">
      <pane xSplit="2" ySplit="5" topLeftCell="N6" activePane="bottomRight" state="frozen"/>
      <selection pane="topRight" activeCell="C1" sqref="C1"/>
      <selection pane="bottomLeft" activeCell="A6" sqref="A6"/>
      <selection pane="bottomRight" activeCell="AA6" sqref="AA6"/>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527</v>
      </c>
      <c r="C1" s="74" t="s">
        <v>178</v>
      </c>
      <c r="D1" s="152" t="s">
        <v>520</v>
      </c>
      <c r="E1" s="237" t="s">
        <v>514</v>
      </c>
      <c r="F1" s="237"/>
      <c r="G1" s="237"/>
      <c r="H1" s="237"/>
      <c r="I1" s="237"/>
      <c r="J1" s="237"/>
      <c r="K1" s="237"/>
      <c r="L1" s="237"/>
      <c r="M1" s="237"/>
      <c r="N1" s="237"/>
      <c r="O1" s="237"/>
      <c r="P1" s="237"/>
      <c r="Q1" s="237"/>
      <c r="R1" s="237"/>
      <c r="S1" s="237"/>
      <c r="T1" s="237"/>
      <c r="U1" s="237"/>
      <c r="V1" s="237"/>
      <c r="W1" s="66"/>
      <c r="X1" s="66"/>
      <c r="Y1" s="66"/>
      <c r="Z1" s="66"/>
      <c r="AA1" s="66"/>
      <c r="AB1" s="66"/>
      <c r="AC1" s="59"/>
      <c r="AD1" s="59"/>
      <c r="AE1" s="59"/>
      <c r="AF1" s="80"/>
      <c r="AG1" s="59"/>
      <c r="AH1" s="59"/>
      <c r="AI1" s="59"/>
      <c r="AJ1" s="59"/>
    </row>
    <row r="2" spans="1:37" ht="14.4" x14ac:dyDescent="0.3">
      <c r="A2" s="76" t="s">
        <v>212</v>
      </c>
      <c r="B2" s="221">
        <v>2022</v>
      </c>
      <c r="C2" s="74" t="s">
        <v>179</v>
      </c>
      <c r="D2" s="218"/>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8" t="s">
        <v>216</v>
      </c>
      <c r="F4" s="238" t="s">
        <v>217</v>
      </c>
      <c r="G4" s="238" t="s">
        <v>218</v>
      </c>
      <c r="H4" s="238" t="s">
        <v>219</v>
      </c>
      <c r="I4" s="238" t="s">
        <v>220</v>
      </c>
      <c r="J4" s="238" t="s">
        <v>221</v>
      </c>
      <c r="K4" s="238" t="s">
        <v>222</v>
      </c>
      <c r="L4" s="238" t="s">
        <v>223</v>
      </c>
      <c r="M4" s="238" t="s">
        <v>224</v>
      </c>
      <c r="N4" s="238" t="s">
        <v>225</v>
      </c>
      <c r="O4" s="238" t="s">
        <v>226</v>
      </c>
      <c r="P4" s="238" t="s">
        <v>227</v>
      </c>
      <c r="Q4" s="238" t="s">
        <v>228</v>
      </c>
      <c r="R4" s="238" t="s">
        <v>229</v>
      </c>
      <c r="S4" s="238" t="s">
        <v>230</v>
      </c>
      <c r="T4" s="238" t="s">
        <v>231</v>
      </c>
      <c r="U4" s="238" t="s">
        <v>232</v>
      </c>
      <c r="V4" s="141" t="s">
        <v>233</v>
      </c>
      <c r="W4" s="142" t="s">
        <v>234</v>
      </c>
      <c r="X4" s="240" t="s">
        <v>521</v>
      </c>
      <c r="Y4" s="241"/>
      <c r="Z4" s="242"/>
      <c r="AA4" s="243" t="s">
        <v>325</v>
      </c>
      <c r="AB4" s="244"/>
      <c r="AC4" s="245"/>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39"/>
      <c r="F5" s="239"/>
      <c r="G5" s="239"/>
      <c r="H5" s="239"/>
      <c r="I5" s="239"/>
      <c r="J5" s="239"/>
      <c r="K5" s="239"/>
      <c r="L5" s="239"/>
      <c r="M5" s="239"/>
      <c r="N5" s="239"/>
      <c r="O5" s="239"/>
      <c r="P5" s="239"/>
      <c r="Q5" s="239"/>
      <c r="R5" s="239"/>
      <c r="S5" s="239"/>
      <c r="T5" s="239"/>
      <c r="U5" s="239"/>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2">
      <c r="A6" s="170" t="s">
        <v>246</v>
      </c>
      <c r="B6" s="236" t="s">
        <v>526</v>
      </c>
      <c r="C6" s="236" t="s">
        <v>526</v>
      </c>
      <c r="D6" s="173" t="s">
        <v>528</v>
      </c>
      <c r="E6" s="173"/>
      <c r="F6" s="173"/>
      <c r="G6" s="173"/>
      <c r="H6" s="173"/>
      <c r="I6" s="173"/>
      <c r="J6" s="173"/>
      <c r="K6" s="173"/>
      <c r="L6" s="173"/>
      <c r="M6" s="173"/>
      <c r="N6" s="173"/>
      <c r="O6" s="173" t="s">
        <v>10</v>
      </c>
      <c r="P6" s="173"/>
      <c r="Q6" s="173"/>
      <c r="R6" s="173"/>
      <c r="S6" s="173"/>
      <c r="T6" s="173"/>
      <c r="U6" s="173"/>
      <c r="V6" s="173" t="s">
        <v>396</v>
      </c>
      <c r="W6" s="173" t="s">
        <v>422</v>
      </c>
      <c r="X6" s="236">
        <v>80041</v>
      </c>
      <c r="Y6" s="181"/>
      <c r="Z6" s="181"/>
      <c r="AA6" s="181">
        <v>164877</v>
      </c>
      <c r="AB6" s="181"/>
      <c r="AD6" s="173" t="s">
        <v>433</v>
      </c>
      <c r="AE6" s="173" t="s">
        <v>432</v>
      </c>
      <c r="AF6" s="173" t="s">
        <v>443</v>
      </c>
      <c r="AG6" s="222"/>
      <c r="AH6" s="184"/>
      <c r="AI6" s="223"/>
      <c r="AJ6" s="174"/>
      <c r="AK6" s="81"/>
    </row>
    <row r="7" spans="1:37" s="95" customFormat="1" ht="13.8" customHeight="1" x14ac:dyDescent="0.3">
      <c r="A7" s="171" t="s">
        <v>247</v>
      </c>
      <c r="B7" s="172" t="s">
        <v>523</v>
      </c>
      <c r="C7" s="175"/>
      <c r="D7" s="176"/>
      <c r="E7" s="176"/>
      <c r="F7" s="176"/>
      <c r="G7" s="176"/>
      <c r="H7" s="176"/>
      <c r="I7" s="176"/>
      <c r="J7" s="176"/>
      <c r="K7" s="176"/>
      <c r="L7" s="176"/>
      <c r="M7" s="176"/>
      <c r="N7" s="176"/>
      <c r="O7" s="176"/>
      <c r="P7" s="176"/>
      <c r="Q7" s="176"/>
      <c r="R7" s="176"/>
      <c r="S7" s="176"/>
      <c r="T7" s="176"/>
      <c r="U7" s="176"/>
      <c r="V7" s="173"/>
      <c r="W7" s="173"/>
      <c r="X7" s="220"/>
      <c r="Y7" s="182"/>
      <c r="Z7" s="182"/>
      <c r="AA7" s="220"/>
      <c r="AB7" s="182"/>
      <c r="AC7" s="182"/>
      <c r="AD7" s="173"/>
      <c r="AE7" s="173"/>
      <c r="AF7" s="173"/>
      <c r="AG7" s="222"/>
      <c r="AH7" s="185"/>
      <c r="AI7" s="223"/>
      <c r="AJ7" s="177"/>
      <c r="AK7" s="81"/>
    </row>
    <row r="8" spans="1:37" s="81" customFormat="1" x14ac:dyDescent="0.3">
      <c r="A8" s="170" t="s">
        <v>248</v>
      </c>
      <c r="B8" s="172" t="s">
        <v>524</v>
      </c>
      <c r="C8" s="172"/>
      <c r="D8" s="173"/>
      <c r="E8" s="173"/>
      <c r="F8" s="173"/>
      <c r="G8" s="173"/>
      <c r="H8" s="173"/>
      <c r="I8" s="173"/>
      <c r="J8" s="173"/>
      <c r="K8" s="173"/>
      <c r="L8" s="173"/>
      <c r="M8" s="173"/>
      <c r="N8" s="173"/>
      <c r="O8" s="173"/>
      <c r="P8" s="173"/>
      <c r="Q8" s="173"/>
      <c r="R8" s="173"/>
      <c r="S8" s="173"/>
      <c r="T8" s="173"/>
      <c r="U8" s="173"/>
      <c r="V8" s="173"/>
      <c r="W8" s="173"/>
      <c r="X8" s="219"/>
      <c r="Y8" s="181"/>
      <c r="Z8" s="181"/>
      <c r="AA8" s="219"/>
      <c r="AB8" s="181"/>
      <c r="AC8" s="181"/>
      <c r="AD8" s="173"/>
      <c r="AE8" s="173"/>
      <c r="AF8" s="173"/>
      <c r="AG8" s="222"/>
      <c r="AH8" s="184"/>
      <c r="AI8" s="223"/>
      <c r="AJ8" s="174"/>
    </row>
    <row r="9" spans="1:37" s="95" customFormat="1" x14ac:dyDescent="0.3">
      <c r="A9" s="171" t="s">
        <v>249</v>
      </c>
      <c r="B9" s="172" t="s">
        <v>525</v>
      </c>
      <c r="C9" s="175"/>
      <c r="D9" s="176"/>
      <c r="E9" s="176"/>
      <c r="F9" s="176"/>
      <c r="G9" s="176"/>
      <c r="H9" s="176"/>
      <c r="I9" s="176"/>
      <c r="J9" s="176"/>
      <c r="K9" s="176"/>
      <c r="L9" s="176"/>
      <c r="M9" s="176"/>
      <c r="N9" s="176"/>
      <c r="O9" s="176"/>
      <c r="P9" s="176"/>
      <c r="Q9" s="176"/>
      <c r="R9" s="176"/>
      <c r="S9" s="176"/>
      <c r="T9" s="176"/>
      <c r="U9" s="176"/>
      <c r="V9" s="176"/>
      <c r="W9" s="176"/>
      <c r="X9" s="182"/>
      <c r="Y9" s="182"/>
      <c r="Z9" s="182"/>
      <c r="AA9" s="220"/>
      <c r="AB9" s="182"/>
      <c r="AC9" s="182"/>
      <c r="AD9" s="176"/>
      <c r="AE9" s="176"/>
      <c r="AF9" s="176"/>
      <c r="AG9" s="224"/>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phoneticPr fontId="58" type="noConversion"/>
  <conditionalFormatting sqref="A7:AJ45 AD6:AJ6 A6:AB6">
    <cfRule type="expression" dxfId="213" priority="2">
      <formula>MOD(ROW(),2)=0</formula>
    </cfRule>
    <cfRule type="expression" dxfId="212"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55"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D5" activePane="bottomRight" state="frozen"/>
      <selection pane="topRight" activeCell="C1" sqref="C1"/>
      <selection pane="bottomLeft" activeCell="A5" sqref="A5"/>
      <selection pane="bottomRight" activeCell="L12" sqref="L12"/>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MESP-Couverture Santé des enseignants du secteur public de la République Démocratique du Congo</v>
      </c>
      <c r="C1" s="163" t="str">
        <f ca="1">IF(OFFSET('Inventaire des régimes'!C5,(_xlfn.SHEET()-2),0)=0,"Name of Scheme in English", OFFSET('Inventaire des régimes'!C5,(_xlfn.SHEET()-2),0))</f>
        <v>MESP-Couverture Santé des enseignants du secteur public de la République Démocratique du Congo</v>
      </c>
      <c r="D1" s="164">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7.6" x14ac:dyDescent="0.2">
      <c r="A5" s="96" t="s">
        <v>353</v>
      </c>
      <c r="B5" s="187" t="s">
        <v>529</v>
      </c>
      <c r="C5" s="187" t="s">
        <v>529</v>
      </c>
      <c r="D5" s="189" t="s">
        <v>403</v>
      </c>
      <c r="E5" s="190" t="s">
        <v>414</v>
      </c>
      <c r="F5" s="189" t="s">
        <v>419</v>
      </c>
      <c r="G5" s="188" t="s">
        <v>420</v>
      </c>
      <c r="H5" s="188" t="s">
        <v>396</v>
      </c>
      <c r="I5" s="236">
        <v>80041</v>
      </c>
      <c r="J5" s="181"/>
      <c r="K5" s="181"/>
      <c r="L5" s="181">
        <v>164877</v>
      </c>
      <c r="M5" s="181"/>
      <c r="N5" s="206"/>
      <c r="O5" s="191"/>
      <c r="P5" s="192"/>
      <c r="Q5" s="191"/>
      <c r="R5" s="191"/>
      <c r="S5" s="191"/>
      <c r="T5" s="193"/>
      <c r="U5" s="193"/>
      <c r="V5" s="193"/>
      <c r="W5" s="194"/>
      <c r="X5" s="194"/>
      <c r="Y5" s="193"/>
      <c r="Z5" s="202"/>
      <c r="AA5" s="188"/>
      <c r="AB5" s="97"/>
    </row>
    <row r="6" spans="1:28" s="63" customFormat="1" x14ac:dyDescent="0.3">
      <c r="A6" s="96" t="s">
        <v>354</v>
      </c>
      <c r="B6" s="195"/>
      <c r="C6" s="195"/>
      <c r="D6" s="197"/>
      <c r="E6" s="190"/>
      <c r="F6" s="189"/>
      <c r="G6" s="188"/>
      <c r="H6" s="188"/>
      <c r="I6" s="225"/>
      <c r="J6" s="207"/>
      <c r="K6" s="207"/>
      <c r="L6" s="227"/>
      <c r="M6" s="208"/>
      <c r="N6" s="208"/>
      <c r="O6" s="191"/>
      <c r="P6" s="192"/>
      <c r="Q6" s="192"/>
      <c r="R6" s="192"/>
      <c r="S6" s="192"/>
      <c r="T6" s="193"/>
      <c r="U6" s="200"/>
      <c r="V6" s="200"/>
      <c r="W6" s="201"/>
      <c r="X6" s="201"/>
      <c r="Y6" s="200"/>
      <c r="Z6" s="202"/>
      <c r="AA6" s="196"/>
      <c r="AB6" s="97"/>
    </row>
    <row r="7" spans="1:28" s="63" customFormat="1" x14ac:dyDescent="0.3">
      <c r="A7" s="96" t="s">
        <v>355</v>
      </c>
      <c r="B7" s="195"/>
      <c r="C7" s="195"/>
      <c r="D7" s="197"/>
      <c r="E7" s="190"/>
      <c r="F7" s="189"/>
      <c r="G7" s="188"/>
      <c r="H7" s="188"/>
      <c r="I7" s="225"/>
      <c r="J7" s="207"/>
      <c r="K7" s="207"/>
      <c r="L7" s="227"/>
      <c r="M7" s="208"/>
      <c r="N7" s="208"/>
      <c r="O7" s="191"/>
      <c r="P7" s="192"/>
      <c r="Q7" s="192"/>
      <c r="R7" s="192"/>
      <c r="S7" s="192"/>
      <c r="T7" s="193"/>
      <c r="U7" s="200"/>
      <c r="V7" s="200"/>
      <c r="W7" s="201"/>
      <c r="X7" s="201"/>
      <c r="Y7" s="200"/>
      <c r="Z7" s="202"/>
      <c r="AA7" s="196"/>
      <c r="AB7" s="97"/>
    </row>
    <row r="8" spans="1:28" s="63" customFormat="1" x14ac:dyDescent="0.3">
      <c r="A8" s="96" t="s">
        <v>356</v>
      </c>
      <c r="B8" s="195"/>
      <c r="C8" s="195"/>
      <c r="D8" s="197"/>
      <c r="E8" s="190"/>
      <c r="F8" s="189"/>
      <c r="G8" s="188"/>
      <c r="H8" s="188"/>
      <c r="I8" s="225"/>
      <c r="J8" s="207"/>
      <c r="K8" s="207"/>
      <c r="L8" s="227"/>
      <c r="M8" s="208"/>
      <c r="N8" s="208"/>
      <c r="O8" s="191"/>
      <c r="P8" s="192"/>
      <c r="Q8" s="192"/>
      <c r="R8" s="192"/>
      <c r="S8" s="192"/>
      <c r="T8" s="193"/>
      <c r="U8" s="200"/>
      <c r="V8" s="200"/>
      <c r="W8" s="201"/>
      <c r="X8" s="201"/>
      <c r="Y8" s="200"/>
      <c r="Z8" s="202"/>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conditionalFormatting sqref="M5">
    <cfRule type="expression" dxfId="210" priority="5">
      <formula>MOD(ROW(),2)=0</formula>
    </cfRule>
    <cfRule type="expression" dxfId="209" priority="6">
      <formula>MOD(ROW(),2)=1</formula>
    </cfRule>
  </conditionalFormatting>
  <conditionalFormatting sqref="I5:L5">
    <cfRule type="expression" dxfId="208" priority="2">
      <formula>MOD(ROW(),2)=0</formula>
    </cfRule>
    <cfRule type="expression" dxfId="207" priority="3">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20"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5"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5"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I6:K19 T5:T19</xm:sqref>
        </x14:conditionalFormatting>
        <x14:conditionalFormatting xmlns:xm="http://schemas.microsoft.com/office/excel/2006/main">
          <x14:cfRule type="expression" priority="37"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1" id="{ACF066B2-B1D0-4E3A-BAD8-72C946379199}">
            <xm:f>$V5=HID_dropdown!$A$3</xm:f>
            <x14:dxf>
              <fill>
                <patternFill>
                  <bgColor theme="1"/>
                </patternFill>
              </fill>
            </x14:dxf>
          </x14:cfRule>
          <xm:sqref>I5:K5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AA5" sqref="AA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232"/>
      <c r="C5" s="232"/>
      <c r="D5" s="189"/>
      <c r="E5" s="190"/>
      <c r="F5" s="189"/>
      <c r="G5" s="188"/>
      <c r="H5" s="188"/>
      <c r="I5" s="225"/>
      <c r="J5" s="204"/>
      <c r="K5" s="204"/>
      <c r="L5" s="226"/>
      <c r="M5" s="206"/>
      <c r="N5" s="206"/>
      <c r="O5" s="191"/>
      <c r="P5" s="192"/>
      <c r="Q5" s="229"/>
      <c r="R5" s="191"/>
      <c r="S5" s="191"/>
      <c r="T5" s="193"/>
      <c r="U5" s="193"/>
      <c r="V5" s="193"/>
      <c r="W5" s="194"/>
      <c r="X5" s="194"/>
      <c r="Y5" s="193"/>
      <c r="Z5" s="202"/>
      <c r="AA5" s="188"/>
      <c r="AB5" s="97"/>
    </row>
    <row r="6" spans="1:28" s="63" customFormat="1" ht="13.8" x14ac:dyDescent="0.3">
      <c r="A6" s="96" t="s">
        <v>354</v>
      </c>
      <c r="B6" s="233"/>
      <c r="C6" s="233"/>
      <c r="D6" s="197"/>
      <c r="E6" s="190"/>
      <c r="F6" s="189"/>
      <c r="G6" s="188"/>
      <c r="H6" s="188"/>
      <c r="I6" s="225"/>
      <c r="J6" s="207"/>
      <c r="K6" s="207"/>
      <c r="L6" s="227"/>
      <c r="M6" s="208"/>
      <c r="N6" s="208"/>
      <c r="O6" s="191"/>
      <c r="P6" s="192"/>
      <c r="Q6" s="229"/>
      <c r="R6" s="192"/>
      <c r="S6" s="192"/>
      <c r="T6" s="193"/>
      <c r="U6" s="200"/>
      <c r="V6" s="200"/>
      <c r="W6" s="201"/>
      <c r="X6" s="201"/>
      <c r="Y6" s="200"/>
      <c r="Z6" s="202"/>
      <c r="AA6" s="196"/>
      <c r="AB6" s="97"/>
    </row>
    <row r="7" spans="1:28" s="63" customFormat="1" ht="13.8" x14ac:dyDescent="0.3">
      <c r="A7" s="96" t="s">
        <v>355</v>
      </c>
      <c r="B7" s="234"/>
      <c r="C7" s="234"/>
      <c r="D7" s="197"/>
      <c r="E7" s="190"/>
      <c r="F7" s="189"/>
      <c r="G7" s="188"/>
      <c r="H7" s="188"/>
      <c r="I7" s="225"/>
      <c r="J7" s="207"/>
      <c r="K7" s="207"/>
      <c r="L7" s="227"/>
      <c r="M7" s="208"/>
      <c r="N7" s="208"/>
      <c r="O7" s="191"/>
      <c r="P7" s="192"/>
      <c r="Q7" s="229"/>
      <c r="R7" s="192"/>
      <c r="S7" s="192"/>
      <c r="T7" s="193"/>
      <c r="U7" s="200"/>
      <c r="V7" s="200"/>
      <c r="W7" s="201"/>
      <c r="X7" s="201"/>
      <c r="Y7" s="200"/>
      <c r="Z7" s="202"/>
      <c r="AA7" s="196"/>
      <c r="AB7" s="97"/>
    </row>
    <row r="8" spans="1:28" s="63" customFormat="1" ht="13.8" x14ac:dyDescent="0.3">
      <c r="A8" s="96" t="s">
        <v>356</v>
      </c>
      <c r="B8" s="235"/>
      <c r="C8" s="235"/>
      <c r="D8" s="197"/>
      <c r="E8" s="190"/>
      <c r="F8" s="189"/>
      <c r="G8" s="188"/>
      <c r="H8" s="188"/>
      <c r="I8" s="225"/>
      <c r="J8" s="207"/>
      <c r="K8" s="207"/>
      <c r="L8" s="227"/>
      <c r="M8" s="208"/>
      <c r="N8" s="208"/>
      <c r="O8" s="191"/>
      <c r="P8" s="192"/>
      <c r="Q8" s="229"/>
      <c r="R8" s="192"/>
      <c r="S8" s="192"/>
      <c r="T8" s="193"/>
      <c r="U8" s="200"/>
      <c r="V8" s="200"/>
      <c r="W8" s="201"/>
      <c r="X8" s="201"/>
      <c r="Y8" s="200"/>
      <c r="Z8" s="202"/>
      <c r="AA8" s="196"/>
      <c r="AB8" s="97"/>
    </row>
    <row r="9" spans="1:28" s="63" customFormat="1" ht="13.8" x14ac:dyDescent="0.3">
      <c r="A9" s="96" t="s">
        <v>357</v>
      </c>
      <c r="B9" s="235"/>
      <c r="C9" s="235"/>
      <c r="D9" s="197"/>
      <c r="E9" s="190"/>
      <c r="F9" s="189"/>
      <c r="G9" s="188"/>
      <c r="H9" s="188"/>
      <c r="I9" s="225"/>
      <c r="J9" s="207"/>
      <c r="K9" s="207"/>
      <c r="L9" s="227"/>
      <c r="M9" s="208"/>
      <c r="N9" s="208"/>
      <c r="O9" s="191"/>
      <c r="P9" s="192"/>
      <c r="Q9" s="229"/>
      <c r="R9" s="192"/>
      <c r="S9" s="192"/>
      <c r="T9" s="193"/>
      <c r="U9" s="200"/>
      <c r="V9" s="200"/>
      <c r="W9" s="201"/>
      <c r="X9" s="201"/>
      <c r="Y9" s="200"/>
      <c r="Z9" s="202"/>
      <c r="AA9" s="196"/>
      <c r="AB9" s="97"/>
    </row>
    <row r="10" spans="1:28" s="63" customFormat="1" ht="13.8" x14ac:dyDescent="0.3">
      <c r="A10" s="96" t="s">
        <v>358</v>
      </c>
      <c r="B10" s="195"/>
      <c r="C10" s="195"/>
      <c r="D10" s="197"/>
      <c r="E10" s="190"/>
      <c r="F10" s="189"/>
      <c r="G10" s="188"/>
      <c r="H10" s="188"/>
      <c r="I10" s="225"/>
      <c r="J10" s="207"/>
      <c r="K10" s="207"/>
      <c r="L10" s="209"/>
      <c r="M10" s="208"/>
      <c r="N10" s="208"/>
      <c r="O10" s="192"/>
      <c r="P10" s="192"/>
      <c r="Q10" s="192"/>
      <c r="R10" s="192"/>
      <c r="S10" s="192"/>
      <c r="T10" s="193"/>
      <c r="U10" s="200"/>
      <c r="V10" s="200"/>
      <c r="W10" s="201"/>
      <c r="X10" s="201"/>
      <c r="Y10" s="200"/>
      <c r="Z10" s="202"/>
      <c r="AA10" s="196"/>
      <c r="AB10" s="97"/>
    </row>
    <row r="11" spans="1:28" s="63" customFormat="1" ht="13.8" x14ac:dyDescent="0.3">
      <c r="A11" s="96" t="s">
        <v>359</v>
      </c>
      <c r="B11" s="195"/>
      <c r="C11" s="195"/>
      <c r="D11" s="197"/>
      <c r="E11" s="190"/>
      <c r="F11" s="189"/>
      <c r="G11" s="188"/>
      <c r="H11" s="188"/>
      <c r="I11" s="225"/>
      <c r="J11" s="207"/>
      <c r="K11" s="207"/>
      <c r="L11" s="208"/>
      <c r="M11" s="208"/>
      <c r="N11" s="208"/>
      <c r="O11" s="192"/>
      <c r="P11" s="192"/>
      <c r="Q11" s="192"/>
      <c r="R11" s="192"/>
      <c r="S11" s="192"/>
      <c r="T11" s="193"/>
      <c r="U11" s="200"/>
      <c r="V11" s="200"/>
      <c r="W11" s="201"/>
      <c r="X11" s="201"/>
      <c r="Y11" s="200"/>
      <c r="Z11" s="202"/>
      <c r="AA11" s="196"/>
      <c r="AB11" s="97"/>
    </row>
    <row r="12" spans="1:28" s="63" customFormat="1" ht="13.8" x14ac:dyDescent="0.3">
      <c r="A12" s="96" t="s">
        <v>360</v>
      </c>
      <c r="B12" s="195"/>
      <c r="C12" s="195"/>
      <c r="D12" s="197"/>
      <c r="E12" s="190"/>
      <c r="F12" s="189"/>
      <c r="G12" s="188"/>
      <c r="H12" s="188"/>
      <c r="I12" s="225"/>
      <c r="J12" s="207"/>
      <c r="K12" s="207"/>
      <c r="L12" s="208"/>
      <c r="M12" s="208"/>
      <c r="N12" s="208"/>
      <c r="O12" s="192"/>
      <c r="P12" s="192"/>
      <c r="Q12" s="192"/>
      <c r="R12" s="192"/>
      <c r="S12" s="192"/>
      <c r="T12" s="193"/>
      <c r="U12" s="200"/>
      <c r="V12" s="200"/>
      <c r="W12" s="201"/>
      <c r="X12" s="201"/>
      <c r="Y12" s="200"/>
      <c r="Z12" s="202"/>
      <c r="AA12" s="196"/>
      <c r="AB12" s="97"/>
    </row>
    <row r="13" spans="1:28" s="63" customFormat="1" ht="13.8" x14ac:dyDescent="0.3">
      <c r="A13" s="96" t="s">
        <v>361</v>
      </c>
      <c r="B13" s="195"/>
      <c r="C13" s="195"/>
      <c r="D13" s="197"/>
      <c r="E13" s="190"/>
      <c r="F13" s="189"/>
      <c r="G13" s="188"/>
      <c r="H13" s="188"/>
      <c r="I13" s="225"/>
      <c r="J13" s="207"/>
      <c r="K13" s="207"/>
      <c r="L13" s="208"/>
      <c r="M13" s="208"/>
      <c r="N13" s="208"/>
      <c r="O13" s="192"/>
      <c r="P13" s="192"/>
      <c r="Q13" s="192"/>
      <c r="R13" s="192"/>
      <c r="S13" s="192"/>
      <c r="T13" s="193"/>
      <c r="U13" s="200"/>
      <c r="V13" s="200"/>
      <c r="W13" s="201"/>
      <c r="X13" s="201"/>
      <c r="Y13" s="200"/>
      <c r="Z13" s="202"/>
      <c r="AA13" s="196"/>
      <c r="AB13" s="97"/>
    </row>
    <row r="14" spans="1:28" s="63" customFormat="1" ht="27.6" x14ac:dyDescent="0.3">
      <c r="A14" s="96" t="s">
        <v>362</v>
      </c>
      <c r="B14" s="195"/>
      <c r="C14" s="195"/>
      <c r="D14" s="197"/>
      <c r="E14" s="190"/>
      <c r="F14" s="189"/>
      <c r="G14" s="188"/>
      <c r="H14" s="188"/>
      <c r="I14" s="225"/>
      <c r="J14" s="207"/>
      <c r="K14" s="207"/>
      <c r="L14" s="208"/>
      <c r="M14" s="208"/>
      <c r="N14" s="208"/>
      <c r="O14" s="192"/>
      <c r="P14" s="192"/>
      <c r="Q14" s="192"/>
      <c r="R14" s="192"/>
      <c r="S14" s="192"/>
      <c r="T14" s="193"/>
      <c r="U14" s="200"/>
      <c r="V14" s="200"/>
      <c r="W14" s="201"/>
      <c r="X14" s="201"/>
      <c r="Y14" s="200"/>
      <c r="Z14" s="202"/>
      <c r="AA14" s="196"/>
      <c r="AB14" s="97"/>
    </row>
    <row r="15" spans="1:28" s="63" customFormat="1" ht="27.6" x14ac:dyDescent="0.3">
      <c r="A15" s="96" t="s">
        <v>363</v>
      </c>
      <c r="B15" s="195"/>
      <c r="C15" s="195"/>
      <c r="D15" s="197"/>
      <c r="E15" s="190"/>
      <c r="F15" s="189"/>
      <c r="G15" s="188"/>
      <c r="H15" s="188"/>
      <c r="I15" s="225"/>
      <c r="J15" s="207"/>
      <c r="K15" s="207"/>
      <c r="L15" s="208"/>
      <c r="M15" s="208"/>
      <c r="N15" s="208"/>
      <c r="O15" s="192"/>
      <c r="P15" s="192"/>
      <c r="Q15" s="192"/>
      <c r="R15" s="192"/>
      <c r="S15" s="192"/>
      <c r="T15" s="193"/>
      <c r="U15" s="200"/>
      <c r="V15" s="200"/>
      <c r="W15" s="201"/>
      <c r="X15" s="201"/>
      <c r="Y15" s="200"/>
      <c r="Z15" s="202"/>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522</v>
      </c>
      <c r="R4" s="158" t="s">
        <v>522</v>
      </c>
      <c r="S4" s="159"/>
      <c r="T4" s="155"/>
      <c r="U4" s="158" t="s">
        <v>242</v>
      </c>
      <c r="V4" s="158" t="s">
        <v>242</v>
      </c>
      <c r="W4" s="160" t="s">
        <v>243</v>
      </c>
      <c r="X4" s="161" t="s">
        <v>244</v>
      </c>
      <c r="Y4" s="155"/>
      <c r="Z4" s="155"/>
      <c r="AA4" s="155"/>
      <c r="AB4" s="90"/>
    </row>
    <row r="5" spans="1:28" s="63" customFormat="1" ht="13.8" x14ac:dyDescent="0.3">
      <c r="A5" s="96" t="s">
        <v>353</v>
      </c>
      <c r="B5" s="187"/>
      <c r="C5" s="187"/>
      <c r="D5" s="189"/>
      <c r="E5" s="190"/>
      <c r="F5" s="189"/>
      <c r="G5" s="188"/>
      <c r="H5" s="188"/>
      <c r="I5" s="225"/>
      <c r="J5" s="204"/>
      <c r="K5" s="204"/>
      <c r="L5" s="226"/>
      <c r="M5" s="206"/>
      <c r="N5" s="206"/>
      <c r="O5" s="191"/>
      <c r="P5" s="192"/>
      <c r="Q5" s="229"/>
      <c r="R5" s="191"/>
      <c r="S5" s="191"/>
      <c r="T5" s="193"/>
      <c r="U5" s="231"/>
      <c r="V5" s="231"/>
      <c r="W5" s="231"/>
      <c r="X5" s="231"/>
      <c r="Y5" s="193"/>
      <c r="Z5" s="202"/>
      <c r="AA5" s="188"/>
      <c r="AB5" s="97"/>
    </row>
    <row r="6" spans="1:28" s="63" customFormat="1" ht="13.8" x14ac:dyDescent="0.3">
      <c r="A6" s="96" t="s">
        <v>354</v>
      </c>
      <c r="B6" s="195"/>
      <c r="C6" s="195"/>
      <c r="D6" s="197"/>
      <c r="E6" s="190"/>
      <c r="F6" s="199"/>
      <c r="G6" s="188"/>
      <c r="H6" s="188"/>
      <c r="I6" s="225"/>
      <c r="J6" s="207"/>
      <c r="K6" s="207"/>
      <c r="L6" s="227"/>
      <c r="M6" s="208"/>
      <c r="N6" s="208"/>
      <c r="O6" s="192"/>
      <c r="P6" s="192"/>
      <c r="Q6" s="229"/>
      <c r="R6" s="192"/>
      <c r="S6" s="192"/>
      <c r="T6" s="193"/>
      <c r="U6" s="199"/>
      <c r="V6" s="199"/>
      <c r="W6" s="199"/>
      <c r="X6" s="199"/>
      <c r="Y6" s="200"/>
      <c r="Z6" s="202"/>
      <c r="AA6" s="196"/>
      <c r="AB6" s="97"/>
    </row>
    <row r="7" spans="1:28" s="63" customFormat="1" ht="13.8" x14ac:dyDescent="0.3">
      <c r="A7" s="96" t="s">
        <v>355</v>
      </c>
      <c r="B7" s="195"/>
      <c r="C7" s="195"/>
      <c r="D7" s="197"/>
      <c r="E7" s="190"/>
      <c r="F7" s="199"/>
      <c r="G7" s="188"/>
      <c r="H7" s="188"/>
      <c r="I7" s="225"/>
      <c r="J7" s="207"/>
      <c r="K7" s="207"/>
      <c r="L7" s="227"/>
      <c r="M7" s="208"/>
      <c r="N7" s="208"/>
      <c r="O7" s="192"/>
      <c r="P7" s="192"/>
      <c r="Q7" s="229"/>
      <c r="R7" s="192"/>
      <c r="S7" s="192"/>
      <c r="T7" s="193"/>
      <c r="U7" s="199"/>
      <c r="V7" s="199"/>
      <c r="W7" s="199"/>
      <c r="X7" s="199"/>
      <c r="Y7" s="200"/>
      <c r="Z7" s="202"/>
      <c r="AA7" s="196"/>
      <c r="AB7" s="97"/>
    </row>
    <row r="8" spans="1:28" s="63" customFormat="1" ht="13.8" x14ac:dyDescent="0.3">
      <c r="A8" s="96" t="s">
        <v>356</v>
      </c>
      <c r="B8" s="195"/>
      <c r="C8" s="195"/>
      <c r="D8" s="197"/>
      <c r="E8" s="190"/>
      <c r="F8" s="199"/>
      <c r="G8" s="188"/>
      <c r="H8" s="188"/>
      <c r="I8" s="225"/>
      <c r="J8" s="207"/>
      <c r="K8" s="207"/>
      <c r="L8" s="227"/>
      <c r="M8" s="208"/>
      <c r="N8" s="208"/>
      <c r="O8" s="192"/>
      <c r="P8" s="192"/>
      <c r="Q8" s="192"/>
      <c r="R8" s="192"/>
      <c r="S8" s="192"/>
      <c r="T8" s="200"/>
      <c r="U8" s="199"/>
      <c r="V8" s="199"/>
      <c r="W8" s="199"/>
      <c r="X8" s="199"/>
      <c r="Y8" s="200"/>
      <c r="Z8" s="202"/>
      <c r="AA8" s="196"/>
      <c r="AB8" s="97"/>
    </row>
    <row r="9" spans="1:28" s="63" customFormat="1" ht="13.8" x14ac:dyDescent="0.3">
      <c r="A9" s="96" t="s">
        <v>357</v>
      </c>
      <c r="B9" s="195"/>
      <c r="C9" s="195"/>
      <c r="D9" s="197"/>
      <c r="E9" s="190"/>
      <c r="F9" s="199"/>
      <c r="G9" s="188"/>
      <c r="H9" s="188"/>
      <c r="I9" s="225"/>
      <c r="J9" s="207"/>
      <c r="K9" s="207"/>
      <c r="L9" s="227"/>
      <c r="M9" s="208"/>
      <c r="N9" s="208"/>
      <c r="O9" s="192"/>
      <c r="P9" s="192"/>
      <c r="Q9" s="192"/>
      <c r="R9" s="192"/>
      <c r="S9" s="192"/>
      <c r="T9" s="200"/>
      <c r="U9" s="199"/>
      <c r="V9" s="199"/>
      <c r="W9" s="199"/>
      <c r="X9" s="199"/>
      <c r="Y9" s="200"/>
      <c r="Z9" s="202"/>
      <c r="AA9" s="196"/>
      <c r="AB9" s="97"/>
    </row>
    <row r="10" spans="1:28" s="63" customFormat="1" ht="13.8" x14ac:dyDescent="0.3">
      <c r="A10" s="96" t="s">
        <v>358</v>
      </c>
      <c r="B10" s="195"/>
      <c r="C10" s="195"/>
      <c r="D10" s="197"/>
      <c r="E10" s="198"/>
      <c r="F10" s="199"/>
      <c r="G10" s="196"/>
      <c r="H10" s="196"/>
      <c r="I10" s="225"/>
      <c r="J10" s="207"/>
      <c r="K10" s="207"/>
      <c r="L10" s="228"/>
      <c r="M10" s="208"/>
      <c r="N10" s="208"/>
      <c r="O10" s="192"/>
      <c r="P10" s="192"/>
      <c r="Q10" s="192"/>
      <c r="R10" s="192"/>
      <c r="S10" s="192"/>
      <c r="T10" s="193"/>
      <c r="U10" s="199"/>
      <c r="V10" s="199"/>
      <c r="W10" s="199"/>
      <c r="X10" s="199"/>
      <c r="Y10" s="200"/>
      <c r="Z10" s="202"/>
      <c r="AA10" s="196"/>
      <c r="AB10" s="97"/>
    </row>
    <row r="11" spans="1:28" s="63" customFormat="1" ht="13.8" x14ac:dyDescent="0.3">
      <c r="A11" s="96" t="s">
        <v>359</v>
      </c>
      <c r="B11" s="195"/>
      <c r="C11" s="195"/>
      <c r="D11" s="197"/>
      <c r="E11" s="198"/>
      <c r="F11" s="199"/>
      <c r="G11" s="196"/>
      <c r="H11" s="196"/>
      <c r="I11" s="207"/>
      <c r="J11" s="207"/>
      <c r="K11" s="207"/>
      <c r="L11" s="208"/>
      <c r="M11" s="208"/>
      <c r="N11" s="208"/>
      <c r="O11" s="192"/>
      <c r="P11" s="192"/>
      <c r="Q11" s="230"/>
      <c r="R11" s="192"/>
      <c r="S11" s="192"/>
      <c r="T11" s="200"/>
      <c r="U11" s="199"/>
      <c r="V11" s="199"/>
      <c r="W11" s="199"/>
      <c r="X11" s="199"/>
      <c r="Y11" s="200"/>
      <c r="Z11" s="202"/>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9" t="s">
        <v>368</v>
      </c>
      <c r="B4" s="249"/>
      <c r="C4" s="249"/>
      <c r="D4" s="249"/>
      <c r="E4" s="249"/>
      <c r="F4" s="249"/>
      <c r="G4" s="249"/>
    </row>
    <row r="5" spans="1:7" ht="15" customHeight="1" x14ac:dyDescent="0.3">
      <c r="A5" s="125"/>
      <c r="B5" s="250" t="s">
        <v>374</v>
      </c>
      <c r="C5" s="251"/>
      <c r="D5" s="250" t="s">
        <v>375</v>
      </c>
      <c r="E5" s="251"/>
      <c r="F5" s="250" t="s">
        <v>376</v>
      </c>
      <c r="G5" s="251"/>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2"/>
      <c r="C28" s="252"/>
      <c r="D28" s="88" t="s">
        <v>17</v>
      </c>
      <c r="E28" s="252"/>
      <c r="F28" s="252"/>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3" t="s">
        <v>163</v>
      </c>
      <c r="G1" s="253"/>
      <c r="H1" s="253"/>
      <c r="I1" s="254" t="s">
        <v>164</v>
      </c>
      <c r="J1" s="254"/>
      <c r="K1" s="254"/>
      <c r="L1" s="255" t="s">
        <v>148</v>
      </c>
      <c r="M1" s="255"/>
      <c r="N1" s="255"/>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9" t="s">
        <v>161</v>
      </c>
      <c r="G3" s="259"/>
      <c r="H3" s="259"/>
      <c r="I3" s="42">
        <f>'ADDITIONAL statistics for SDGs'!B9</f>
        <v>0</v>
      </c>
      <c r="J3" s="43" t="s">
        <v>18</v>
      </c>
      <c r="K3" s="43" t="s">
        <v>18</v>
      </c>
      <c r="L3" s="44" t="e">
        <f>20294/I3</f>
        <v>#DIV/0!</v>
      </c>
      <c r="M3" s="43" t="s">
        <v>18</v>
      </c>
      <c r="N3" s="43" t="s">
        <v>18</v>
      </c>
    </row>
    <row r="4" spans="1:14" ht="43.2" x14ac:dyDescent="0.3">
      <c r="A4" s="256"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6"/>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6"/>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6"/>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6"/>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6"/>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6"/>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6"/>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7"/>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6"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6"/>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6"/>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6"/>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6"/>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6"/>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6"/>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6"/>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6"/>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6"/>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6"/>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6"/>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6"/>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6"/>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7"/>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6" t="s">
        <v>118</v>
      </c>
      <c r="B30" s="6" t="s">
        <v>119</v>
      </c>
      <c r="C30" s="258" t="s">
        <v>120</v>
      </c>
      <c r="D30" s="6"/>
      <c r="E30" s="6"/>
      <c r="F30" s="31"/>
      <c r="G30" s="33"/>
      <c r="H30" s="33"/>
      <c r="I30" s="31"/>
      <c r="J30" s="31"/>
      <c r="K30" s="31"/>
      <c r="L30" s="34"/>
      <c r="M30" s="34"/>
      <c r="N30" s="34"/>
    </row>
    <row r="31" spans="1:14" x14ac:dyDescent="0.3">
      <c r="A31" s="256"/>
      <c r="B31" s="7" t="s">
        <v>3</v>
      </c>
      <c r="C31" s="258"/>
      <c r="D31" s="6" t="s">
        <v>121</v>
      </c>
      <c r="E31" s="6" t="s">
        <v>122</v>
      </c>
      <c r="F31" s="31"/>
      <c r="G31" s="31"/>
      <c r="H31" s="31"/>
      <c r="I31" s="31">
        <f>'ADDITIONAL statistics for SDGs'!$B$31</f>
        <v>0</v>
      </c>
      <c r="J31" s="31"/>
      <c r="K31" s="31"/>
      <c r="L31" s="34" t="e">
        <f t="shared" ref="L31:L39" si="4">F31/I31</f>
        <v>#DIV/0!</v>
      </c>
      <c r="M31" s="31"/>
      <c r="N31" s="31"/>
    </row>
    <row r="32" spans="1:14" x14ac:dyDescent="0.3">
      <c r="A32" s="256"/>
      <c r="B32" s="7" t="s">
        <v>4</v>
      </c>
      <c r="C32" s="258"/>
      <c r="D32" s="6" t="s">
        <v>123</v>
      </c>
      <c r="E32" s="6" t="s">
        <v>122</v>
      </c>
      <c r="F32" s="31"/>
      <c r="G32" s="31"/>
      <c r="H32" s="31"/>
      <c r="I32" s="31">
        <f>'ADDITIONAL statistics for SDGs'!$B$31</f>
        <v>0</v>
      </c>
      <c r="J32" s="31"/>
      <c r="K32" s="31"/>
      <c r="L32" s="34" t="e">
        <f t="shared" si="4"/>
        <v>#DIV/0!</v>
      </c>
      <c r="M32" s="31"/>
      <c r="N32" s="31"/>
    </row>
    <row r="33" spans="1:14" x14ac:dyDescent="0.3">
      <c r="A33" s="256"/>
      <c r="B33" s="7" t="s">
        <v>11</v>
      </c>
      <c r="C33" s="258"/>
      <c r="D33" s="6" t="s">
        <v>124</v>
      </c>
      <c r="E33" s="6" t="s">
        <v>122</v>
      </c>
      <c r="F33" s="31"/>
      <c r="G33" s="31"/>
      <c r="H33" s="31"/>
      <c r="I33" s="31">
        <f>'ADDITIONAL statistics for SDGs'!$B$31</f>
        <v>0</v>
      </c>
      <c r="J33" s="31"/>
      <c r="K33" s="31"/>
      <c r="L33" s="34" t="e">
        <f t="shared" si="4"/>
        <v>#DIV/0!</v>
      </c>
      <c r="M33" s="31"/>
      <c r="N33" s="31"/>
    </row>
    <row r="34" spans="1:14" x14ac:dyDescent="0.3">
      <c r="A34" s="256"/>
      <c r="B34" s="7" t="s">
        <v>5</v>
      </c>
      <c r="C34" s="258"/>
      <c r="D34" s="6" t="s">
        <v>125</v>
      </c>
      <c r="E34" s="6" t="s">
        <v>122</v>
      </c>
      <c r="F34" s="31"/>
      <c r="G34" s="31"/>
      <c r="H34" s="31"/>
      <c r="I34" s="31">
        <f>'ADDITIONAL statistics for SDGs'!$B$31</f>
        <v>0</v>
      </c>
      <c r="J34" s="31"/>
      <c r="K34" s="31"/>
      <c r="L34" s="34" t="e">
        <f t="shared" si="4"/>
        <v>#DIV/0!</v>
      </c>
      <c r="M34" s="31"/>
      <c r="N34" s="31"/>
    </row>
    <row r="35" spans="1:14" ht="28.8" x14ac:dyDescent="0.3">
      <c r="A35" s="256"/>
      <c r="B35" s="6" t="s">
        <v>126</v>
      </c>
      <c r="C35" s="260" t="s">
        <v>127</v>
      </c>
      <c r="D35" s="6"/>
      <c r="E35" s="6"/>
      <c r="F35" s="31"/>
      <c r="G35" s="31"/>
      <c r="H35" s="31"/>
      <c r="I35" s="31"/>
      <c r="J35" s="31"/>
      <c r="K35" s="31"/>
      <c r="L35" s="34"/>
      <c r="M35" s="31"/>
      <c r="N35" s="31"/>
    </row>
    <row r="36" spans="1:14" x14ac:dyDescent="0.3">
      <c r="A36" s="256"/>
      <c r="B36" s="7" t="s">
        <v>3</v>
      </c>
      <c r="C36" s="261"/>
      <c r="D36" s="6" t="s">
        <v>128</v>
      </c>
      <c r="E36" s="6" t="s">
        <v>129</v>
      </c>
      <c r="F36" s="31"/>
      <c r="G36" s="33"/>
      <c r="H36" s="33"/>
      <c r="I36" s="33">
        <f>'ADDITIONAL statistics for SDGs'!$B$30</f>
        <v>0</v>
      </c>
      <c r="J36" s="33"/>
      <c r="K36" s="33"/>
      <c r="L36" s="34" t="e">
        <f t="shared" si="4"/>
        <v>#DIV/0!</v>
      </c>
      <c r="M36" s="33"/>
      <c r="N36" s="33"/>
    </row>
    <row r="37" spans="1:14" x14ac:dyDescent="0.3">
      <c r="A37" s="256"/>
      <c r="B37" s="7" t="s">
        <v>4</v>
      </c>
      <c r="C37" s="261"/>
      <c r="D37" s="6" t="s">
        <v>130</v>
      </c>
      <c r="E37" s="6" t="s">
        <v>129</v>
      </c>
      <c r="F37" s="31"/>
      <c r="G37" s="33"/>
      <c r="H37" s="33"/>
      <c r="I37" s="33">
        <f>'ADDITIONAL statistics for SDGs'!B30</f>
        <v>0</v>
      </c>
      <c r="J37" s="33"/>
      <c r="K37" s="33"/>
      <c r="L37" s="34" t="e">
        <f t="shared" si="4"/>
        <v>#DIV/0!</v>
      </c>
      <c r="M37" s="33"/>
      <c r="N37" s="33"/>
    </row>
    <row r="38" spans="1:14" x14ac:dyDescent="0.3">
      <c r="A38" s="256"/>
      <c r="B38" s="7" t="s">
        <v>11</v>
      </c>
      <c r="C38" s="261"/>
      <c r="D38" s="6" t="s">
        <v>131</v>
      </c>
      <c r="E38" s="6" t="s">
        <v>129</v>
      </c>
      <c r="F38" s="31"/>
      <c r="G38" s="33"/>
      <c r="H38" s="33"/>
      <c r="I38" s="33">
        <f>'ADDITIONAL statistics for SDGs'!B30</f>
        <v>0</v>
      </c>
      <c r="J38" s="33"/>
      <c r="K38" s="33"/>
      <c r="L38" s="34" t="e">
        <f t="shared" si="4"/>
        <v>#DIV/0!</v>
      </c>
      <c r="M38" s="33"/>
      <c r="N38" s="33"/>
    </row>
    <row r="39" spans="1:14" x14ac:dyDescent="0.3">
      <c r="A39" s="256"/>
      <c r="B39" s="7" t="s">
        <v>5</v>
      </c>
      <c r="C39" s="261"/>
      <c r="D39" s="6" t="s">
        <v>132</v>
      </c>
      <c r="E39" s="6" t="s">
        <v>129</v>
      </c>
      <c r="F39" s="31"/>
      <c r="G39" s="33"/>
      <c r="H39" s="33"/>
      <c r="I39" s="33">
        <f>'ADDITIONAL statistics for SDGs'!B30</f>
        <v>0</v>
      </c>
      <c r="J39" s="33"/>
      <c r="K39" s="33"/>
      <c r="L39" s="34" t="e">
        <f t="shared" si="4"/>
        <v>#DIV/0!</v>
      </c>
      <c r="M39" s="33"/>
      <c r="N39" s="33"/>
    </row>
    <row r="40" spans="1:14" x14ac:dyDescent="0.3">
      <c r="A40" s="256"/>
      <c r="C40" s="262"/>
      <c r="D40" s="6"/>
      <c r="E40" s="6"/>
      <c r="F40" s="31"/>
      <c r="G40" s="33"/>
      <c r="H40" s="33"/>
      <c r="I40" s="33"/>
      <c r="J40" s="33"/>
      <c r="K40" s="33"/>
      <c r="L40" s="34"/>
      <c r="M40" s="33"/>
      <c r="N40" s="33"/>
    </row>
    <row r="41" spans="1:14" ht="28.8" x14ac:dyDescent="0.3">
      <c r="A41" s="256"/>
      <c r="B41" s="6" t="s">
        <v>133</v>
      </c>
      <c r="C41" s="258" t="s">
        <v>171</v>
      </c>
      <c r="D41" s="6"/>
      <c r="E41" s="6"/>
      <c r="F41" s="31"/>
      <c r="G41" s="33"/>
      <c r="H41" s="33"/>
      <c r="I41" s="33"/>
      <c r="J41" s="33"/>
      <c r="K41" s="33"/>
      <c r="L41" s="34"/>
      <c r="M41" s="33"/>
      <c r="N41" s="33"/>
    </row>
    <row r="42" spans="1:14" x14ac:dyDescent="0.3">
      <c r="A42" s="256"/>
      <c r="B42" s="7" t="s">
        <v>3</v>
      </c>
      <c r="C42" s="258"/>
      <c r="D42" s="6" t="s">
        <v>134</v>
      </c>
      <c r="E42" s="6" t="s">
        <v>135</v>
      </c>
      <c r="F42" s="31"/>
      <c r="G42" s="33"/>
      <c r="H42" s="33"/>
      <c r="I42" s="33">
        <f>'Info Pauvreté'!B23</f>
        <v>0</v>
      </c>
      <c r="J42" s="33"/>
      <c r="K42" s="33"/>
      <c r="L42" s="34" t="e">
        <f>F42/I42</f>
        <v>#DIV/0!</v>
      </c>
      <c r="M42" s="33"/>
      <c r="N42" s="33"/>
    </row>
    <row r="43" spans="1:14" x14ac:dyDescent="0.3">
      <c r="A43" s="256"/>
      <c r="B43" s="7" t="s">
        <v>4</v>
      </c>
      <c r="C43" s="258"/>
      <c r="D43" s="6" t="s">
        <v>136</v>
      </c>
      <c r="E43" s="6" t="s">
        <v>137</v>
      </c>
      <c r="F43" s="31"/>
      <c r="G43" s="33"/>
      <c r="H43" s="33"/>
      <c r="I43" s="33">
        <f>'Info Pauvreté'!B22</f>
        <v>0</v>
      </c>
      <c r="J43" s="33"/>
      <c r="K43" s="33"/>
      <c r="L43" s="34" t="e">
        <f t="shared" ref="L43:L50" si="5">F43/I43</f>
        <v>#DIV/0!</v>
      </c>
      <c r="M43" s="33"/>
      <c r="N43" s="33"/>
    </row>
    <row r="44" spans="1:14" x14ac:dyDescent="0.3">
      <c r="A44" s="256"/>
      <c r="B44" s="7" t="s">
        <v>16</v>
      </c>
      <c r="C44" s="258"/>
      <c r="D44" s="6" t="s">
        <v>138</v>
      </c>
      <c r="E44" s="6" t="s">
        <v>139</v>
      </c>
      <c r="F44" s="31"/>
      <c r="G44" s="33"/>
      <c r="H44" s="33"/>
      <c r="I44" s="33">
        <f>'Info Pauvreté'!B21</f>
        <v>0</v>
      </c>
      <c r="J44" s="33"/>
      <c r="K44" s="33"/>
      <c r="L44" s="34" t="e">
        <f t="shared" si="5"/>
        <v>#DIV/0!</v>
      </c>
      <c r="M44" s="33"/>
      <c r="N44" s="33"/>
    </row>
    <row r="45" spans="1:14" ht="28.8" x14ac:dyDescent="0.3">
      <c r="A45" s="256"/>
      <c r="B45" s="7" t="s">
        <v>140</v>
      </c>
      <c r="C45" s="258"/>
      <c r="D45" s="6" t="s">
        <v>141</v>
      </c>
      <c r="E45" s="6" t="s">
        <v>137</v>
      </c>
      <c r="F45" s="31"/>
      <c r="G45" s="33"/>
      <c r="H45" s="33"/>
      <c r="I45" s="33">
        <f>'Info Pauvreté'!B22</f>
        <v>0</v>
      </c>
      <c r="J45" s="33"/>
      <c r="K45" s="33"/>
      <c r="L45" s="34" t="e">
        <f t="shared" si="5"/>
        <v>#DIV/0!</v>
      </c>
      <c r="M45" s="33"/>
      <c r="N45" s="33"/>
    </row>
    <row r="46" spans="1:14" ht="28.8" x14ac:dyDescent="0.3">
      <c r="A46" s="256"/>
      <c r="B46" s="6" t="s">
        <v>142</v>
      </c>
      <c r="C46" s="258" t="s">
        <v>143</v>
      </c>
      <c r="D46" s="6"/>
      <c r="E46" s="6"/>
      <c r="F46" s="31"/>
      <c r="G46" s="33"/>
      <c r="H46" s="33"/>
      <c r="I46" s="33"/>
      <c r="J46" s="33"/>
      <c r="K46" s="33"/>
      <c r="L46" s="34"/>
      <c r="M46" s="33"/>
      <c r="N46" s="33"/>
    </row>
    <row r="47" spans="1:14" x14ac:dyDescent="0.3">
      <c r="A47" s="256"/>
      <c r="B47" s="7" t="s">
        <v>3</v>
      </c>
      <c r="C47" s="258"/>
      <c r="D47" s="6" t="s">
        <v>134</v>
      </c>
      <c r="E47" s="6" t="s">
        <v>144</v>
      </c>
      <c r="F47" s="31"/>
      <c r="G47" s="33"/>
      <c r="H47" s="33"/>
      <c r="I47" s="33">
        <f>'Info Pauvreté'!B20</f>
        <v>0</v>
      </c>
      <c r="J47" s="33"/>
      <c r="K47" s="33"/>
      <c r="L47" s="34" t="e">
        <f t="shared" si="5"/>
        <v>#DIV/0!</v>
      </c>
      <c r="M47" s="33"/>
      <c r="N47" s="33"/>
    </row>
    <row r="48" spans="1:14" x14ac:dyDescent="0.3">
      <c r="A48" s="256"/>
      <c r="B48" s="7" t="s">
        <v>4</v>
      </c>
      <c r="C48" s="258"/>
      <c r="D48" s="6" t="s">
        <v>136</v>
      </c>
      <c r="E48" s="6" t="s">
        <v>145</v>
      </c>
      <c r="F48" s="31"/>
      <c r="G48" s="33"/>
      <c r="H48" s="33"/>
      <c r="I48" s="33">
        <f>'Info Pauvreté'!B19</f>
        <v>0</v>
      </c>
      <c r="J48" s="33"/>
      <c r="K48" s="33"/>
      <c r="L48" s="34" t="e">
        <f t="shared" si="5"/>
        <v>#DIV/0!</v>
      </c>
      <c r="M48" s="33"/>
      <c r="N48" s="33"/>
    </row>
    <row r="49" spans="1:14" x14ac:dyDescent="0.3">
      <c r="A49" s="256"/>
      <c r="B49" s="7" t="s">
        <v>16</v>
      </c>
      <c r="C49" s="258"/>
      <c r="D49" s="6" t="s">
        <v>138</v>
      </c>
      <c r="E49" s="6" t="s">
        <v>146</v>
      </c>
      <c r="F49" s="31"/>
      <c r="G49" s="33"/>
      <c r="H49" s="33"/>
      <c r="I49" s="33">
        <f>'Info Pauvreté'!B18</f>
        <v>0</v>
      </c>
      <c r="J49" s="33"/>
      <c r="K49" s="33"/>
      <c r="L49" s="34" t="e">
        <f t="shared" si="5"/>
        <v>#DIV/0!</v>
      </c>
      <c r="M49" s="33"/>
      <c r="N49" s="33"/>
    </row>
    <row r="50" spans="1:14" ht="28.8" x14ac:dyDescent="0.3">
      <c r="A50" s="256"/>
      <c r="B50" s="7" t="s">
        <v>140</v>
      </c>
      <c r="C50" s="258"/>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2026-06-14T01:11:06Z</dcterms:modified>
</cp:coreProperties>
</file>