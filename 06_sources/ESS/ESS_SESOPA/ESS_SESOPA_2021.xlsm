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En cours/Sessopa/"/>
    </mc:Choice>
  </mc:AlternateContent>
  <xr:revisionPtr revIDLastSave="1" documentId="8_{DAEDDA60-4227-4310-BBEF-F8685F00707F}" xr6:coauthVersionLast="47" xr6:coauthVersionMax="47" xr10:uidLastSave="{006B3549-591E-4D81-8924-79B5BAE7E153}"/>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<sst xmlns="http://schemas.openxmlformats.org/spreadsheetml/2006/main" count="3465" uniqueCount="613">
  <si>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</si>
  <si>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</si>
  <si>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</si>
  <si>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</si>
  <si>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</si>
  <si>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</si>
  <si>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</si>
  <si>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</si>
  <si>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</si>
  <si>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</si>
  <si>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</si>
  <si>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</si>
  <si>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</si>
  <si>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</si>
  <si>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</si>
  <si>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</si>
  <si>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</si>
  <si>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</si>
  <si>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</si>
  <si>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</si>
  <si>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</si>
  <si>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</si>
  <si>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</si>
  <si>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</si>
  <si>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</si>
  <si>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</si>
  <si>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</si>
  <si>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</si>
  <si>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</si>
  <si>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</si>
  <si>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</si>
  <si>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</si>
  <si>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</si>
  <si>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</si>
  <si>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</si>
  <si>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</si>
  <si>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</si>
  <si>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</si>
  <si>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</si>
  <si>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</si>
  <si>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</si>
  <si>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</si>
  <si>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</si>
  <si>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</si>
  <si>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</si>
  <si>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</si>
  <si>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</si>
  <si>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</si>
  <si>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</si>
  <si>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</si>
  <si>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</si>
  <si>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</si>
  <si>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</si>
  <si>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</si>
  <si>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</si>
  <si>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</si>
  <si>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</si>
  <si>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</si>
  <si>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</si>
  <si>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</si>
  <si>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</si>
  <si>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</si>
  <si>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</si>
  <si>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</si>
  <si>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</si>
  <si>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</si>
  <si>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</si>
  <si>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</si>
  <si>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</si>
  <si>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</si>
  <si>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</si>
  <si>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</si>
  <si>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</si>
  <si>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</si>
  <si>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</si>
  <si>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</si>
  <si>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</si>
  <si>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</si>
  <si>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</si>
  <si>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</si>
  <si>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</si>
  <si>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</si>
  <si>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</si>
  <si>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</si>
  <si>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</si>
  <si>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</si>
  <si>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</si>
  <si>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</si>
  <si>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</si>
  <si>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</si>
  <si>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</si>
  <si>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</si>
  <si>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</si>
  <si>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</si>
  <si>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</si>
  <si>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</si>
  <si>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</si>
  <si>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</si>
  <si>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</si>
  <si>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</si>
  <si>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</si>
  <si>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</si>
  <si>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</si>
  <si>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</si>
  <si>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</si>
  <si>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</si>
  <si>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</si>
  <si>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</si>
  <si>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</si>
  <si>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</si>
  <si>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</si>
  <si>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</si>
  <si>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</si>
  <si>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</si>
  <si>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</si>
  <si>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</si>
  <si>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</si>
  <si>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</si>
  <si>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</si>
  <si>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</si>
  <si>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</si>
  <si>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</si>
  <si>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</si>
  <si>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</si>
  <si>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</si>
  <si>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</si>
  <si>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</si>
  <si>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</si>
  <si>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</si>
  <si>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</si>
  <si>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</si>
  <si>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</si>
  <si>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</si>
  <si>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</si>
  <si>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</si>
  <si>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</si>
  <si>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</si>
  <si>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</si>
  <si>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</si>
  <si>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</si>
  <si>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</si>
  <si>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</si>
  <si>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</si>
  <si>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</si>
  <si>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</si>
  <si>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</si>
  <si>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</si>
  <si>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</si>
  <si>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</si>
  <si>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</si>
  <si>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</si>
  <si>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</si>
  <si>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</si>
  <si>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</si>
  <si>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</si>
  <si>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</si>
  <si>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</si>
  <si>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</si>
  <si>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</si>
  <si>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</si>
  <si>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</si>
  <si>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</si>
  <si>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</si>
  <si>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</si>
  <si>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</si>
  <si>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</si>
  <si>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</si>
  <si>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</si>
  <si>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</si>
  <si>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</si>
  <si>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</si>
  <si>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</si>
  <si>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</si>
  <si>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</si>
  <si>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</si>
  <si>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</si>
  <si>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</si>
  <si>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</si>
  <si>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</si>
  <si>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</si>
  <si>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</si>
  <si>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</si>
  <si>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</si>
  <si>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</si>
  <si>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</si>
  <si>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</si>
  <si>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</si>
  <si>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</si>
  <si>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</si>
  <si>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</si>
  <si>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</si>
  <si>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</si>
  <si>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</si>
  <si>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</si>
  <si>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</si>
  <si>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</si>
  <si>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</si>
  <si>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</si>
  <si>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</si>
  <si>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</si>
  <si>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</si>
  <si>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</si>
  <si>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</si>
  <si>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</si>
  <si>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</si>
  <si>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</si>
  <si>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</si>
  <si>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</si>
  <si>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</si>
  <si>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</si>
  <si>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</si>
  <si>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</si>
  <si>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</si>
  <si>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</si>
  <si>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</si>
  <si>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</si>
  <si>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</si>
  <si>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</si>
  <si>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</si>
  <si>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</si>
  <si>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</si>
  <si>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</si>
  <si>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</si>
  <si>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</si>
  <si>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</si>
  <si>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</si>
  <si>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</si>
  <si>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</si>
  <si>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</si>
  <si>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</si>
  <si>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</si>
  <si>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</si>
  <si>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</si>
  <si>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</si>
  <si>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</si>
  <si>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</si>
  <si>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</si>
  <si>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</si>
  <si>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</si>
  <si>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</si>
  <si>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</si>
  <si>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</si>
  <si>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</si>
  <si>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</si>
  <si>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</si>
  <si>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</si>
  <si>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</si>
  <si>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</si>
  <si>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</si>
  <si>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</si>
  <si>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</si>
  <si>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</si>
  <si>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</si>
  <si>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</si>
  <si>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</si>
  <si>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</si>
  <si>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</si>
  <si>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</si>
  <si>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</si>
  <si>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</si>
  <si>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</si>
  <si>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</si>
  <si>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</si>
  <si>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</si>
  <si>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</si>
  <si>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</si>
  <si>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</si>
  <si>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</si>
  <si>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</si>
  <si>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</si>
  <si>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</si>
  <si>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</si>
  <si>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</si>
  <si>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</si>
  <si>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</si>
  <si>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</si>
  <si>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</si>
  <si>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</si>
  <si>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</si>
  <si>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</si>
  <si>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</si>
  <si>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</si>
  <si>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</si>
  <si>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</si>
  <si>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</si>
  <si>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</si>
  <si>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</si>
  <si>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</si>
  <si>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</si>
  <si>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</si>
  <si>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</si>
  <si>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</si>
  <si>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</si>
  <si>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</si>
  <si>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</si>
  <si>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</si>
  <si>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</si>
  <si>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</si>
  <si>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</si>
  <si>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</si>
  <si>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</si>
  <si>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</si>
  <si>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</si>
  <si>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</si>
  <si>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</si>
  <si>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</si>
  <si>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</si>
  <si>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</si>
  <si>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</si>
  <si>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</si>
  <si>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</si>
  <si>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</si>
  <si>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</si>
  <si>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</si>
  <si>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</si>
  <si>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</si>
  <si>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</si>
  <si>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</si>
  <si>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</si>
  <si>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</si>
  <si>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</si>
  <si>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</si>
  <si>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</si>
  <si>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</si>
  <si>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</si>
  <si>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</si>
  <si>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</si>
  <si>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</si>
  <si>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</si>
  <si>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</si>
  <si>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</si>
  <si>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</si>
  <si>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</si>
  <si>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</si>
  <si>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</si>
  <si>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</si>
  <si>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</si>
  <si>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</si>
  <si>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</si>
  <si>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</si>
  <si>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</si>
  <si>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</si>
  <si>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</si>
  <si>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</si>
  <si>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</si>
  <si>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</si>
  <si>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</si>
  <si>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</si>
  <si>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</si>
  <si>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</si>
  <si>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</si>
  <si>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</si>
  <si>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</si>
  <si>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</si>
  <si>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</si>
  <si>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</si>
  <si>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</si>
  <si>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</si>
  <si>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</si>
  <si>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</si>
  <si>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</si>
  <si>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</si>
  <si>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</si>
  <si>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</si>
  <si>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</si>
  <si>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</si>
  <si>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</si>
  <si>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</si>
  <si>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</si>
  <si>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</si>
  <si>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</si>
  <si>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</si>
  <si>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</si>
  <si>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</si>
  <si>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</si>
  <si>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</si>
  <si>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</si>
  <si>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</si>
  <si>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</si>
  <si>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</si>
  <si>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</si>
  <si>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</si>
  <si>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</si>
  <si>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</si>
  <si>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</si>
  <si>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</si>
  <si>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</si>
  <si>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</si>
  <si>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</si>
  <si>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</si>
  <si>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</si>
  <si>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</si>
  <si>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</si>
  <si>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</si>
  <si>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</si>
  <si>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</si>
  <si>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</si>
  <si>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</si>
  <si>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</si>
  <si>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</si>
  <si>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</si>
  <si>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</si>
  <si>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</si>
  <si>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</si>
  <si>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</si>
  <si>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</si>
  <si>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</si>
  <si>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</si>
  <si>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</si>
  <si>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</si>
  <si>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</si>
  <si>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</si>
  <si>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</si>
  <si>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</si>
  <si>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</si>
  <si>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</si>
  <si>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</si>
  <si>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</si>
  <si>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</si>
  <si>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</si>
  <si>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</si>
  <si>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</si>
  <si>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</si>
  <si>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</si>
  <si>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</si>
  <si>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</si>
  <si>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</si>
  <si>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</si>
  <si>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</si>
  <si>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</si>
  <si>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</si>
  <si>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</si>
  <si>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</si>
  <si>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</si>
  <si>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</si>
  <si>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</si>
  <si>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</si>
  <si>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</si>
  <si>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</si>
  <si>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</si>
  <si>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</si>
  <si>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</si>
  <si>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</si>
  <si>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</si>
  <si>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</si>
  <si>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</si>
  <si>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</si>
  <si>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</si>
  <si>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</si>
  <si>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</si>
  <si>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</si>
  <si>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</si>
  <si>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</si>
  <si>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</si>
  <si>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</si>
  <si>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</si>
  <si>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</si>
  <si>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</si>
  <si>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</si>
  <si>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</si>
  <si>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</si>
  <si>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</si>
  <si>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</si>
  <si>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</si>
  <si>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</si>
  <si>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</si>
  <si>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</si>
  <si>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</si>
  <si>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</si>
  <si>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</si>
  <si>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</si>
  <si>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</si>
  <si>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</si>
  <si>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</si>
  <si>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</si>
  <si>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</si>
  <si>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</si>
  <si>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</si>
  <si>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</si>
  <si>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</si>
  <si>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</si>
  <si>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</si>
  <si>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</si>
  <si>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</si>
  <si>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</si>
  <si>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</si>
  <si>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</si>
  <si>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</si>
  <si>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</si>
  <si>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</si>
  <si>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</si>
  <si>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</si>
  <si>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</si>
  <si>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</si>
  <si>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</si>
  <si>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</si>
  <si>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</si>
  <si>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</si>
  <si>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</si>
  <si>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</si>
  <si>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</si>
  <si>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</si>
  <si>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</si>
  <si>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</si>
  <si>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</si>
  <si>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</si>
  <si>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</si>
  <si>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</si>
  <si>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</si>
  <si>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</si>
  <si>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</si>
  <si>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</si>
  <si>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</si>
  <si>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</si>
  <si>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</si>
  <si>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</si>
  <si>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</si>
  <si>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</si>
  <si>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</si>
  <si>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</si>
  <si>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</si>
  <si>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</si>
  <si>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</si>
  <si>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SESOPA Assemblée nationale</t>
  </si>
  <si>
    <t>Assurance décès - rente spéciale de survie</t>
  </si>
  <si>
    <t>Branche des risques liés à l'exercice du mandat parlementaire</t>
  </si>
  <si>
    <t xml:space="preserve">Assurance maladie des parlementaires </t>
  </si>
  <si>
    <t>Assurance décès -rente spéciale de survie</t>
  </si>
  <si>
    <t>Assurance maternité des parlementaires</t>
  </si>
  <si>
    <t>Pension de retraite contributive</t>
  </si>
  <si>
    <t>Parlementaires, anciens parlementaires et ayants droit éligibles selon la loi</t>
  </si>
  <si>
    <t>à vie</t>
  </si>
  <si>
    <t>55 ans</t>
  </si>
  <si>
    <t>Être en règle de cotisations; 36 mois de contributions; cessation du mandat; ne pas exercer de fonction rémunérée par le Trésor public sauf fonction libérale ou enseignement universitaire.</t>
  </si>
  <si>
    <t>Pension de retraite des anciens parlementaires non cotisants prise en charge par le Trésor public</t>
  </si>
  <si>
    <t>Anciens parlementaires bénéficiaires avant l'abrogation de l'article 97 et leurs veuves; prestation financée par le Trésor public; aucune période de cotisation requise</t>
  </si>
  <si>
    <t>Population fermée composée des anciens parlementaires de 1960 à 1992 et de leurs veuves bénéficiant du maintien de leurs droits après l'abrogation de l'article 97</t>
  </si>
  <si>
    <t>Pension de réversion (rente viagère du conjoint survivant)</t>
  </si>
  <si>
    <t>Conjoint survivant âgé d'au moins 50 ans à l'ouverture du dossier; droit dérivé d'une pension de retraite acquise ou servie au défunt; prestation fixée à 80% de la pension du défunt conformément à la législation en vigueur</t>
  </si>
  <si>
    <t>Prestation servie aux conjoints survivants des bénéficiaires du régime de retraite parlementaire, y compris les anciens parlementaires non cotisants dont les droits ont été maintenus après l'abrogation de l'article 97</t>
  </si>
  <si>
    <t>Branche des pensions  de retraite et de réversion</t>
  </si>
  <si>
    <t>Assistance médicale et chirurgicale</t>
  </si>
  <si>
    <t>Examens médicaux, radiographies, examens de laboratoire et analyses</t>
  </si>
  <si>
    <t>Entretien dans un hôpital ou dans une formation médicale</t>
  </si>
  <si>
    <t>Soins dentaires</t>
  </si>
  <si>
    <t>Soins gynécologiques et obstétricaux</t>
  </si>
  <si>
    <t>Frais de transport impérieusement nécessités par l’état du malade</t>
  </si>
  <si>
    <t>Fourniture, entretien et renouvellement des appareils d’orthopédie et de prothèse indispensables</t>
  </si>
  <si>
    <t>Fourniture des produits pharmaceutiques</t>
  </si>
  <si>
    <t>Parlementaires en fonction, parlementaires honoraires, conjoints et enfants bénéficiaires conformément à la législation et à la réglementation du SESOPA</t>
  </si>
  <si>
    <t>Indemnité mensuelle de veuvage</t>
  </si>
  <si>
    <t>Indemnité mensuelle d’orphelin</t>
  </si>
  <si>
    <t>Allocation forfaitaire de funérailles couvrant transfert, inhumation et veillées mortuaires</t>
  </si>
  <si>
    <t>Indemnité de scolarité</t>
  </si>
  <si>
    <t>Contribution aux frais funéraires de la famille du parlementaire honoraire assujetti</t>
  </si>
  <si>
    <t>Avantages reconnus par le Règlement intérieur de la Chambre à la famille du parlementaire décédé en cours de mandat</t>
  </si>
  <si>
    <t>Le régime couvre les prestations servies aux  survivants et ayants droit des parlementaires conformément à la législation et à la réglementation du SESOPA</t>
  </si>
  <si>
    <t>Paiement unique</t>
  </si>
  <si>
    <t>Allocation unique de décès</t>
  </si>
  <si>
    <t>Jusqu'à l'expiration de la législature</t>
  </si>
  <si>
    <t>Jusqu'à l'expiration de la législature ou à la fin de la scolarité obligatoire</t>
  </si>
  <si>
    <t>Décès du parlementaire</t>
  </si>
  <si>
    <t>Conjoint survivant reconnu</t>
  </si>
  <si>
    <t>Enfants bénéficiaires reconnus</t>
  </si>
  <si>
    <t>Enfants bénéficiaires reconnus et scolarisés</t>
  </si>
  <si>
    <t>Décès du parlementaire honoraire assujetti</t>
  </si>
  <si>
    <t>Décès en cours de mandat</t>
  </si>
  <si>
    <t>Soins de santé et appareils nécessités par la lésion résultant de l’accident ou de la maladie liés au mandat</t>
  </si>
  <si>
    <t>Rente d’incapacité totale et permanente</t>
  </si>
  <si>
    <t>Rente d’incapacité partielle et permanente</t>
  </si>
  <si>
    <t>Supplément pour aide et soins constants d’une tierce personne</t>
  </si>
  <si>
    <t>Allocation d’incapacité lorsque le degré d’incapacité partielle et permanente est inférieur à 15 %</t>
  </si>
  <si>
    <t>Soins médicaux sans limitation de durée nécessités par la lésion ou l’affection consécutive</t>
  </si>
  <si>
    <t>Appareils de prothèse, dentaire comprise, et d’orthopédie, entretien et renouvellement</t>
  </si>
  <si>
    <t>Rente viagère au conjoint survivant en cas de décès résultant du risque lié au mandat</t>
  </si>
  <si>
    <t>Allocation unique aux ascendants du premier degré dans les conditions prévues par la loi</t>
  </si>
  <si>
    <t>Le régime couvre les prestations servies aux parlementaires victimes d'accidents ou de maladies imputables à l'exercice du mandat ainsi qu'à leurs ayants droit conformément à la législation en vigueur</t>
  </si>
  <si>
    <t>Selon nécessité médicale</t>
  </si>
  <si>
    <t>Tant que l'assistance est nécessaire</t>
  </si>
  <si>
    <t>Sans limitation de durée</t>
  </si>
  <si>
    <t>Accident ou maladie imputable au mandat</t>
  </si>
  <si>
    <t>incapacité totale et permanente reconnue</t>
  </si>
  <si>
    <t>ncapacité partielle permanente reconnue</t>
  </si>
  <si>
    <t>Besoin constant d'assistance d'une tierce personne</t>
  </si>
  <si>
    <t>Incapacité permanente inférieure à 15%</t>
  </si>
  <si>
    <t>Lésion nécessitant un appareillage</t>
  </si>
  <si>
    <t>Décès imputable à l'exercice du mandat et conjoint survivant reconnu</t>
  </si>
  <si>
    <t>Décès imputable à l'exercice du mandat et qualité d'ascendant dupremier degré reconnue conformément à la loi</t>
  </si>
  <si>
    <t>Frais d’accouchement</t>
  </si>
  <si>
    <t>Frais médicaux liés à la grossesse, à l’accouchement et à leurs suites</t>
  </si>
  <si>
    <t>Frais pharmaceutiques liés à la maternité</t>
  </si>
  <si>
    <t>Frais hospitaliers liés à la maternité</t>
  </si>
  <si>
    <t>Maintien des indemnités parlementaires mensuelles durant le congé de maternité du parlementaire de sexe féminin</t>
  </si>
  <si>
    <t>Selon prescription médicale</t>
  </si>
  <si>
    <t>Pendant la durée légale du congé de maternité</t>
  </si>
  <si>
    <t>Accouchement médicalement constaté</t>
  </si>
  <si>
    <t>Grossesse médicalement constaté</t>
  </si>
  <si>
    <t>Hospitalisation liée à la maternité</t>
  </si>
  <si>
    <t>Prescription médicale liée à la grossesse ou à l'accouchement</t>
  </si>
  <si>
    <t>Parlementaire bénéficiaire d'un congé de maternité reconnu</t>
  </si>
  <si>
    <t>Le régime couvre les prestations liées à la grossesse, à l'accouchement, au congé de maternité et aux soins postnataux des parlementaires bénéficiaires ou leurs conjointes conformément à la législation et à la réglementation du SESOPA</t>
  </si>
  <si>
    <t>Presciption médicale</t>
  </si>
  <si>
    <t>Hospitalisation médicalement justifiée</t>
  </si>
  <si>
    <t>Soins dentaires médicalement justifiés</t>
  </si>
  <si>
    <t>Presciption ou suivi médical</t>
  </si>
  <si>
    <t>Transport médical requis</t>
  </si>
  <si>
    <t>Presciption médicale et besoin d'appareillage</t>
  </si>
  <si>
    <t>Médicaments prescrits</t>
  </si>
  <si>
    <t>Affection ou maladie couverte médicalement constatée</t>
  </si>
  <si>
    <t>36 mois minimum</t>
  </si>
  <si>
    <t>Lois SESOPA de 1988,2012, 2018 et 2023 ainsi que les règlements intérieurs de l'Assemblée nationale et du SESOPA</t>
  </si>
  <si>
    <t>3030389,99</t>
  </si>
  <si>
    <t>Le questionnaire 2024 n'ayant pas été rendu disponible, ceci est une copie du questionnaire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</si>
</sst>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10"/>
      <color rgb="FFFF0000"/>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59" fillId="3" borderId="0" xfId="0" applyFont="1" applyFill="1" applyAlignment="1">
      <alignment horizontal="left" vertical="top"/>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C6" activePane="bottomRight" state="frozen"/>
      <selection pane="topRight" activeCell="C1" sqref="C1"/>
      <selection pane="bottomLeft" activeCell="A6" sqref="A6"/>
      <selection pane="bottomRight" activeCell="B3" sqref="B3"/>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2" t="s">
        <v>516</v>
      </c>
      <c r="F1" s="222"/>
      <c r="G1" s="222"/>
      <c r="H1" s="222"/>
      <c r="I1" s="222"/>
      <c r="J1" s="222"/>
      <c r="K1" s="222"/>
      <c r="L1" s="222"/>
      <c r="M1" s="222"/>
      <c r="N1" s="222"/>
      <c r="O1" s="222"/>
      <c r="P1" s="222"/>
      <c r="Q1" s="222"/>
      <c r="R1" s="222"/>
      <c r="S1" s="222"/>
      <c r="T1" s="222"/>
      <c r="U1" s="222"/>
      <c r="V1" s="222"/>
      <c r="W1" s="221" t="s">
        <v>612</v>
      </c>
      <c r="X1" s="66"/>
      <c r="Y1" s="66"/>
      <c r="Z1" s="66"/>
      <c r="AA1" s="66"/>
      <c r="AB1" s="66"/>
      <c r="AC1" s="59"/>
      <c r="AD1" s="59"/>
      <c r="AE1" s="59"/>
      <c r="AF1" s="80"/>
      <c r="AG1" s="59"/>
      <c r="AH1" s="59"/>
      <c r="AI1" s="59"/>
      <c r="AJ1" s="59"/>
    </row>
    <row r="2" spans="1:37" x14ac:dyDescent="0.3">
      <c r="A2" s="76" t="s">
        <v>214</v>
      </c>
      <c r="B2" s="151">
        <v>2021</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3" t="s">
        <v>218</v>
      </c>
      <c r="F4" s="223" t="s">
        <v>219</v>
      </c>
      <c r="G4" s="223" t="s">
        <v>220</v>
      </c>
      <c r="H4" s="223" t="s">
        <v>221</v>
      </c>
      <c r="I4" s="223" t="s">
        <v>222</v>
      </c>
      <c r="J4" s="223" t="s">
        <v>223</v>
      </c>
      <c r="K4" s="223" t="s">
        <v>224</v>
      </c>
      <c r="L4" s="223" t="s">
        <v>225</v>
      </c>
      <c r="M4" s="223" t="s">
        <v>226</v>
      </c>
      <c r="N4" s="223" t="s">
        <v>227</v>
      </c>
      <c r="O4" s="223" t="s">
        <v>228</v>
      </c>
      <c r="P4" s="223" t="s">
        <v>229</v>
      </c>
      <c r="Q4" s="223" t="s">
        <v>230</v>
      </c>
      <c r="R4" s="223" t="s">
        <v>231</v>
      </c>
      <c r="S4" s="223" t="s">
        <v>232</v>
      </c>
      <c r="T4" s="223" t="s">
        <v>233</v>
      </c>
      <c r="U4" s="223" t="s">
        <v>234</v>
      </c>
      <c r="V4" s="141" t="s">
        <v>235</v>
      </c>
      <c r="W4" s="142" t="s">
        <v>236</v>
      </c>
      <c r="X4" s="225" t="s">
        <v>237</v>
      </c>
      <c r="Y4" s="226"/>
      <c r="Z4" s="227"/>
      <c r="AA4" s="228" t="s">
        <v>327</v>
      </c>
      <c r="AB4" s="229"/>
      <c r="AC4" s="230"/>
      <c r="AD4" s="142" t="s">
        <v>238</v>
      </c>
      <c r="AE4" s="142" t="s">
        <v>239</v>
      </c>
      <c r="AF4" s="142" t="s">
        <v>240</v>
      </c>
      <c r="AG4" s="141" t="s">
        <v>241</v>
      </c>
      <c r="AH4" s="141" t="s">
        <v>242</v>
      </c>
      <c r="AI4" s="141" t="s">
        <v>243</v>
      </c>
      <c r="AJ4" s="140" t="s">
        <v>244</v>
      </c>
    </row>
    <row r="5" spans="1:37" ht="12.75" customHeight="1" x14ac:dyDescent="0.3">
      <c r="A5" s="143"/>
      <c r="B5" s="144"/>
      <c r="C5" s="145"/>
      <c r="D5" s="146"/>
      <c r="E5" s="224"/>
      <c r="F5" s="224"/>
      <c r="G5" s="224"/>
      <c r="H5" s="224"/>
      <c r="I5" s="224"/>
      <c r="J5" s="224"/>
      <c r="K5" s="224"/>
      <c r="L5" s="224"/>
      <c r="M5" s="224"/>
      <c r="N5" s="224"/>
      <c r="O5" s="224"/>
      <c r="P5" s="224"/>
      <c r="Q5" s="224"/>
      <c r="R5" s="224"/>
      <c r="S5" s="224"/>
      <c r="T5" s="224"/>
      <c r="U5" s="224"/>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27.6" x14ac:dyDescent="0.3">
      <c r="A6" s="171" t="s">
        <v>249</v>
      </c>
      <c r="B6" s="173" t="s">
        <v>540</v>
      </c>
      <c r="C6" s="173" t="s">
        <v>540</v>
      </c>
      <c r="D6" s="174" t="s">
        <v>523</v>
      </c>
      <c r="E6" s="174" t="s">
        <v>10</v>
      </c>
      <c r="F6" s="174"/>
      <c r="G6" s="174" t="s">
        <v>10</v>
      </c>
      <c r="H6" s="174"/>
      <c r="I6" s="174"/>
      <c r="J6" s="174"/>
      <c r="K6" s="174"/>
      <c r="L6" s="174"/>
      <c r="M6" s="174"/>
      <c r="N6" s="174"/>
      <c r="O6" s="174"/>
      <c r="P6" s="174"/>
      <c r="Q6" s="174"/>
      <c r="R6" s="174"/>
      <c r="S6" s="174"/>
      <c r="T6" s="174"/>
      <c r="U6" s="174"/>
      <c r="V6" s="174" t="s">
        <v>400</v>
      </c>
      <c r="W6" s="174" t="s">
        <v>424</v>
      </c>
      <c r="X6" s="182">
        <v>2315</v>
      </c>
      <c r="Y6" s="182"/>
      <c r="Z6" s="182"/>
      <c r="AA6" s="182">
        <v>1959</v>
      </c>
      <c r="AB6" s="182"/>
      <c r="AC6" s="182"/>
      <c r="AD6" s="174" t="s">
        <v>434</v>
      </c>
      <c r="AE6" s="174" t="s">
        <v>438</v>
      </c>
      <c r="AF6" s="174" t="s">
        <v>449</v>
      </c>
      <c r="AG6" s="185"/>
      <c r="AH6" s="185"/>
      <c r="AI6" s="185"/>
      <c r="AJ6" s="175"/>
      <c r="AK6" s="81"/>
    </row>
    <row r="7" spans="1:37" s="95" customFormat="1" ht="27.6" x14ac:dyDescent="0.3">
      <c r="A7" s="172" t="s">
        <v>250</v>
      </c>
      <c r="B7" s="176" t="s">
        <v>526</v>
      </c>
      <c r="C7" s="176" t="s">
        <v>526</v>
      </c>
      <c r="D7" s="177" t="s">
        <v>523</v>
      </c>
      <c r="E7" s="177"/>
      <c r="F7" s="177"/>
      <c r="G7" s="177"/>
      <c r="H7" s="177"/>
      <c r="I7" s="177"/>
      <c r="J7" s="177"/>
      <c r="K7" s="177"/>
      <c r="L7" s="177"/>
      <c r="M7" s="177"/>
      <c r="N7" s="177"/>
      <c r="O7" s="177" t="s">
        <v>10</v>
      </c>
      <c r="P7" s="177"/>
      <c r="Q7" s="177"/>
      <c r="R7" s="177"/>
      <c r="S7" s="177"/>
      <c r="T7" s="177"/>
      <c r="U7" s="177"/>
      <c r="V7" s="177" t="s">
        <v>399</v>
      </c>
      <c r="W7" s="177"/>
      <c r="X7" s="183"/>
      <c r="Y7" s="183"/>
      <c r="Z7" s="183"/>
      <c r="AA7" s="183"/>
      <c r="AB7" s="183"/>
      <c r="AC7" s="183"/>
      <c r="AD7" s="177" t="s">
        <v>434</v>
      </c>
      <c r="AE7" s="177" t="s">
        <v>438</v>
      </c>
      <c r="AF7" s="177" t="s">
        <v>445</v>
      </c>
      <c r="AG7" s="186"/>
      <c r="AH7" s="186"/>
      <c r="AI7" s="186"/>
      <c r="AJ7" s="178"/>
      <c r="AK7" s="81"/>
    </row>
    <row r="8" spans="1:37" s="81" customFormat="1" ht="27.6" x14ac:dyDescent="0.3">
      <c r="A8" s="171" t="s">
        <v>251</v>
      </c>
      <c r="B8" s="173" t="s">
        <v>524</v>
      </c>
      <c r="C8" s="173" t="s">
        <v>527</v>
      </c>
      <c r="D8" s="174" t="s">
        <v>523</v>
      </c>
      <c r="E8" s="174"/>
      <c r="F8" s="174"/>
      <c r="G8" s="174" t="s">
        <v>10</v>
      </c>
      <c r="H8" s="174"/>
      <c r="I8" s="174"/>
      <c r="J8" s="174"/>
      <c r="K8" s="174"/>
      <c r="L8" s="174"/>
      <c r="M8" s="174"/>
      <c r="N8" s="174"/>
      <c r="O8" s="174"/>
      <c r="P8" s="174"/>
      <c r="Q8" s="174"/>
      <c r="R8" s="174"/>
      <c r="S8" s="174"/>
      <c r="T8" s="174"/>
      <c r="U8" s="174"/>
      <c r="V8" s="174" t="s">
        <v>399</v>
      </c>
      <c r="W8" s="174"/>
      <c r="X8" s="182"/>
      <c r="Y8" s="182"/>
      <c r="Z8" s="182"/>
      <c r="AA8" s="182"/>
      <c r="AB8" s="182"/>
      <c r="AC8" s="182"/>
      <c r="AD8" s="174" t="s">
        <v>434</v>
      </c>
      <c r="AE8" s="174" t="s">
        <v>438</v>
      </c>
      <c r="AF8" s="174" t="s">
        <v>445</v>
      </c>
      <c r="AG8" s="185"/>
      <c r="AH8" s="185"/>
      <c r="AI8" s="185"/>
      <c r="AJ8" s="175"/>
    </row>
    <row r="9" spans="1:37" s="95" customFormat="1" ht="41.4" x14ac:dyDescent="0.3">
      <c r="A9" s="172" t="s">
        <v>252</v>
      </c>
      <c r="B9" s="176" t="s">
        <v>525</v>
      </c>
      <c r="C9" s="176" t="s">
        <v>525</v>
      </c>
      <c r="D9" s="177" t="s">
        <v>523</v>
      </c>
      <c r="E9" s="177"/>
      <c r="F9" s="177" t="s">
        <v>10</v>
      </c>
      <c r="G9" s="177" t="s">
        <v>10</v>
      </c>
      <c r="H9" s="177"/>
      <c r="I9" s="177"/>
      <c r="J9" s="177"/>
      <c r="K9" s="177"/>
      <c r="L9" s="177"/>
      <c r="M9" s="177"/>
      <c r="N9" s="177" t="s">
        <v>10</v>
      </c>
      <c r="O9" s="177" t="s">
        <v>10</v>
      </c>
      <c r="P9" s="177"/>
      <c r="Q9" s="177"/>
      <c r="R9" s="177"/>
      <c r="S9" s="177"/>
      <c r="T9" s="177"/>
      <c r="U9" s="177"/>
      <c r="V9" s="177" t="s">
        <v>399</v>
      </c>
      <c r="W9" s="177"/>
      <c r="X9" s="183"/>
      <c r="Y9" s="183"/>
      <c r="Z9" s="183"/>
      <c r="AA9" s="183"/>
      <c r="AB9" s="183"/>
      <c r="AC9" s="183"/>
      <c r="AD9" s="177" t="s">
        <v>434</v>
      </c>
      <c r="AE9" s="177" t="s">
        <v>438</v>
      </c>
      <c r="AF9" s="177" t="s">
        <v>445</v>
      </c>
      <c r="AG9" s="186"/>
      <c r="AH9" s="186"/>
      <c r="AI9" s="186"/>
      <c r="AJ9" s="178"/>
      <c r="AK9" s="81"/>
    </row>
    <row r="10" spans="1:37" s="81" customFormat="1" ht="27.6" x14ac:dyDescent="0.3">
      <c r="A10" s="171" t="s">
        <v>253</v>
      </c>
      <c r="B10" s="173" t="s">
        <v>528</v>
      </c>
      <c r="C10" s="173" t="s">
        <v>528</v>
      </c>
      <c r="D10" s="174" t="s">
        <v>523</v>
      </c>
      <c r="E10" s="174"/>
      <c r="F10" s="174"/>
      <c r="G10" s="174"/>
      <c r="H10" s="174"/>
      <c r="I10" s="174" t="s">
        <v>10</v>
      </c>
      <c r="J10" s="174"/>
      <c r="K10" s="174"/>
      <c r="L10" s="174"/>
      <c r="M10" s="174"/>
      <c r="N10" s="174"/>
      <c r="O10" s="174" t="s">
        <v>10</v>
      </c>
      <c r="P10" s="174"/>
      <c r="Q10" s="174"/>
      <c r="R10" s="174"/>
      <c r="S10" s="174"/>
      <c r="T10" s="174"/>
      <c r="U10" s="174"/>
      <c r="V10" s="174" t="s">
        <v>399</v>
      </c>
      <c r="W10" s="174"/>
      <c r="X10" s="182"/>
      <c r="Y10" s="182"/>
      <c r="Z10" s="182"/>
      <c r="AA10" s="182"/>
      <c r="AB10" s="182"/>
      <c r="AC10" s="182"/>
      <c r="AD10" s="174" t="s">
        <v>434</v>
      </c>
      <c r="AE10" s="174" t="s">
        <v>438</v>
      </c>
      <c r="AF10" s="174" t="s">
        <v>445</v>
      </c>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610</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R5" sqref="R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pensions  de retraite et de réversion</v>
      </c>
      <c r="C1" s="164" t="str">
        <f ca="1">IF(OFFSET('Inventaire des régimes'!C5,(_xlfn.SHEET()-2),0)=0,"Name of Scheme in English", OFFSET('Inventaire des régimes'!C5,(_xlfn.SHEET()-2),0))</f>
        <v>Branche des pensions  de retraite et de réversion</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07" x14ac:dyDescent="0.3">
      <c r="A5" s="96" t="s">
        <v>355</v>
      </c>
      <c r="B5" s="188" t="s">
        <v>529</v>
      </c>
      <c r="C5" s="189" t="s">
        <v>529</v>
      </c>
      <c r="D5" s="190" t="s">
        <v>218</v>
      </c>
      <c r="E5" s="191" t="s">
        <v>412</v>
      </c>
      <c r="F5" s="190"/>
      <c r="G5" s="189"/>
      <c r="H5" s="189" t="s">
        <v>398</v>
      </c>
      <c r="I5" s="205">
        <v>2315</v>
      </c>
      <c r="J5" s="205"/>
      <c r="K5" s="205"/>
      <c r="L5" s="206">
        <v>964</v>
      </c>
      <c r="M5" s="207"/>
      <c r="N5" s="207"/>
      <c r="O5" s="192" t="s">
        <v>427</v>
      </c>
      <c r="P5" s="193" t="s">
        <v>432</v>
      </c>
      <c r="Q5" s="219">
        <v>1042500</v>
      </c>
      <c r="R5" s="192" t="s">
        <v>611</v>
      </c>
      <c r="S5" s="192" t="s">
        <v>531</v>
      </c>
      <c r="T5" s="194" t="s">
        <v>609</v>
      </c>
      <c r="U5" s="194"/>
      <c r="V5" s="194"/>
      <c r="W5" s="195" t="s">
        <v>532</v>
      </c>
      <c r="X5" s="195" t="s">
        <v>532</v>
      </c>
      <c r="Y5" s="194" t="s">
        <v>533</v>
      </c>
      <c r="Z5" s="203"/>
      <c r="AA5" s="189"/>
      <c r="AB5" s="97"/>
    </row>
    <row r="6" spans="1:28" s="63" customFormat="1" ht="193.2" x14ac:dyDescent="0.3">
      <c r="A6" s="96" t="s">
        <v>356</v>
      </c>
      <c r="B6" s="196" t="s">
        <v>534</v>
      </c>
      <c r="C6" s="196" t="s">
        <v>534</v>
      </c>
      <c r="D6" s="198" t="s">
        <v>218</v>
      </c>
      <c r="E6" s="199" t="s">
        <v>412</v>
      </c>
      <c r="F6" s="200"/>
      <c r="G6" s="197"/>
      <c r="H6" s="197" t="s">
        <v>399</v>
      </c>
      <c r="I6" s="208"/>
      <c r="J6" s="208"/>
      <c r="K6" s="208"/>
      <c r="L6" s="209">
        <v>277</v>
      </c>
      <c r="M6" s="209"/>
      <c r="N6" s="209"/>
      <c r="O6" s="193" t="s">
        <v>427</v>
      </c>
      <c r="P6" s="193" t="s">
        <v>432</v>
      </c>
      <c r="Q6" s="220">
        <v>1668000</v>
      </c>
      <c r="R6" s="193">
        <v>1668000</v>
      </c>
      <c r="S6" s="193" t="s">
        <v>531</v>
      </c>
      <c r="T6" s="201"/>
      <c r="U6" s="201" t="s">
        <v>429</v>
      </c>
      <c r="V6" s="201" t="s">
        <v>437</v>
      </c>
      <c r="W6" s="202"/>
      <c r="X6" s="202"/>
      <c r="Y6" s="201" t="s">
        <v>535</v>
      </c>
      <c r="Z6" s="204"/>
      <c r="AA6" s="197" t="s">
        <v>536</v>
      </c>
      <c r="AB6" s="97"/>
    </row>
    <row r="7" spans="1:28" s="63" customFormat="1" ht="262.2" x14ac:dyDescent="0.3">
      <c r="A7" s="96" t="s">
        <v>357</v>
      </c>
      <c r="B7" s="196" t="s">
        <v>537</v>
      </c>
      <c r="C7" s="196" t="s">
        <v>537</v>
      </c>
      <c r="D7" s="198" t="s">
        <v>402</v>
      </c>
      <c r="E7" s="199" t="s">
        <v>412</v>
      </c>
      <c r="F7" s="200"/>
      <c r="G7" s="197"/>
      <c r="H7" s="197" t="s">
        <v>399</v>
      </c>
      <c r="I7" s="208"/>
      <c r="J7" s="208"/>
      <c r="K7" s="208"/>
      <c r="L7" s="209">
        <v>718</v>
      </c>
      <c r="M7" s="209"/>
      <c r="N7" s="209"/>
      <c r="O7" s="193" t="s">
        <v>427</v>
      </c>
      <c r="P7" s="193" t="s">
        <v>432</v>
      </c>
      <c r="Q7" s="193">
        <v>1042500</v>
      </c>
      <c r="R7" s="193">
        <v>1042500</v>
      </c>
      <c r="S7" s="193" t="s">
        <v>531</v>
      </c>
      <c r="T7" s="201"/>
      <c r="U7" s="201" t="s">
        <v>429</v>
      </c>
      <c r="V7" s="201" t="s">
        <v>437</v>
      </c>
      <c r="W7" s="202"/>
      <c r="X7" s="202"/>
      <c r="Y7" s="201" t="s">
        <v>538</v>
      </c>
      <c r="Z7" s="204"/>
      <c r="AA7" s="197" t="s">
        <v>539</v>
      </c>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Y5" sqref="Y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Assurance maladie des parlementaires </v>
      </c>
      <c r="C1" s="164" t="str">
        <f ca="1">IF(OFFSET('Inventaire des régimes'!C5,(_xlfn.SHEET()-2),0)=0,"Name of Scheme in English", OFFSET('Inventaire des régimes'!C5,(_xlfn.SHEET()-2),0))</f>
        <v xml:space="preserve">Assurance maladie des parlementaires </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69" x14ac:dyDescent="0.3">
      <c r="A5" s="96" t="s">
        <v>355</v>
      </c>
      <c r="B5" s="188" t="s">
        <v>541</v>
      </c>
      <c r="C5" s="188" t="s">
        <v>541</v>
      </c>
      <c r="D5" s="190" t="s">
        <v>403</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194" t="s">
        <v>608</v>
      </c>
      <c r="Z5" s="203"/>
      <c r="AA5" s="189"/>
      <c r="AB5" s="97"/>
    </row>
    <row r="6" spans="1:28" s="63" customFormat="1" ht="55.2" x14ac:dyDescent="0.3">
      <c r="A6" s="96" t="s">
        <v>356</v>
      </c>
      <c r="B6" s="196" t="s">
        <v>542</v>
      </c>
      <c r="C6" s="196" t="s">
        <v>542</v>
      </c>
      <c r="D6" s="198" t="s">
        <v>403</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601</v>
      </c>
      <c r="Z6" s="204"/>
      <c r="AA6" s="197"/>
      <c r="AB6" s="97"/>
    </row>
    <row r="7" spans="1:28" s="63" customFormat="1" ht="55.2" x14ac:dyDescent="0.3">
      <c r="A7" s="96" t="s">
        <v>357</v>
      </c>
      <c r="B7" s="196" t="s">
        <v>543</v>
      </c>
      <c r="C7" s="196" t="s">
        <v>543</v>
      </c>
      <c r="D7" s="198" t="s">
        <v>403</v>
      </c>
      <c r="E7" s="199" t="s">
        <v>412</v>
      </c>
      <c r="F7" s="200"/>
      <c r="G7" s="197"/>
      <c r="H7" s="197" t="s">
        <v>399</v>
      </c>
      <c r="I7" s="208"/>
      <c r="J7" s="208"/>
      <c r="K7" s="208"/>
      <c r="L7" s="209"/>
      <c r="M7" s="209"/>
      <c r="N7" s="209"/>
      <c r="O7" s="193" t="s">
        <v>428</v>
      </c>
      <c r="P7" s="193"/>
      <c r="Q7" s="193"/>
      <c r="R7" s="193"/>
      <c r="S7" s="193" t="s">
        <v>577</v>
      </c>
      <c r="T7" s="201"/>
      <c r="U7" s="201" t="s">
        <v>429</v>
      </c>
      <c r="V7" s="201" t="s">
        <v>437</v>
      </c>
      <c r="W7" s="202"/>
      <c r="X7" s="202"/>
      <c r="Y7" s="201" t="s">
        <v>602</v>
      </c>
      <c r="Z7" s="204"/>
      <c r="AA7" s="197"/>
      <c r="AB7" s="97"/>
    </row>
    <row r="8" spans="1:28" s="63" customFormat="1" ht="55.2" x14ac:dyDescent="0.3">
      <c r="A8" s="96" t="s">
        <v>358</v>
      </c>
      <c r="B8" s="196" t="s">
        <v>544</v>
      </c>
      <c r="C8" s="196" t="s">
        <v>544</v>
      </c>
      <c r="D8" s="198" t="s">
        <v>403</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603</v>
      </c>
      <c r="Z8" s="204"/>
      <c r="AA8" s="197"/>
      <c r="AB8" s="97"/>
    </row>
    <row r="9" spans="1:28" s="63" customFormat="1" ht="55.2" x14ac:dyDescent="0.3">
      <c r="A9" s="96" t="s">
        <v>359</v>
      </c>
      <c r="B9" s="196" t="s">
        <v>545</v>
      </c>
      <c r="C9" s="196" t="s">
        <v>545</v>
      </c>
      <c r="D9" s="198" t="s">
        <v>403</v>
      </c>
      <c r="E9" s="199" t="s">
        <v>412</v>
      </c>
      <c r="F9" s="200"/>
      <c r="G9" s="197"/>
      <c r="H9" s="197" t="s">
        <v>399</v>
      </c>
      <c r="I9" s="208"/>
      <c r="J9" s="208"/>
      <c r="K9" s="208"/>
      <c r="L9" s="209"/>
      <c r="M9" s="209"/>
      <c r="N9" s="209"/>
      <c r="O9" s="193" t="s">
        <v>428</v>
      </c>
      <c r="P9" s="193"/>
      <c r="Q9" s="193"/>
      <c r="R9" s="193"/>
      <c r="S9" s="193" t="s">
        <v>577</v>
      </c>
      <c r="T9" s="201"/>
      <c r="U9" s="201" t="s">
        <v>429</v>
      </c>
      <c r="V9" s="201" t="s">
        <v>437</v>
      </c>
      <c r="W9" s="202"/>
      <c r="X9" s="202"/>
      <c r="Y9" s="201" t="s">
        <v>604</v>
      </c>
      <c r="Z9" s="204"/>
      <c r="AA9" s="197"/>
      <c r="AB9" s="97"/>
    </row>
    <row r="10" spans="1:28" s="63" customFormat="1" ht="55.2" x14ac:dyDescent="0.3">
      <c r="A10" s="96" t="s">
        <v>360</v>
      </c>
      <c r="B10" s="196" t="s">
        <v>546</v>
      </c>
      <c r="C10" s="196" t="s">
        <v>546</v>
      </c>
      <c r="D10" s="198" t="s">
        <v>403</v>
      </c>
      <c r="E10" s="199" t="s">
        <v>412</v>
      </c>
      <c r="F10" s="200"/>
      <c r="G10" s="197"/>
      <c r="H10" s="197" t="s">
        <v>399</v>
      </c>
      <c r="I10" s="208"/>
      <c r="J10" s="208"/>
      <c r="K10" s="208"/>
      <c r="L10" s="210"/>
      <c r="M10" s="209"/>
      <c r="N10" s="209"/>
      <c r="O10" s="193" t="s">
        <v>428</v>
      </c>
      <c r="P10" s="193"/>
      <c r="Q10" s="193"/>
      <c r="R10" s="193"/>
      <c r="S10" s="193" t="s">
        <v>577</v>
      </c>
      <c r="T10" s="201"/>
      <c r="U10" s="201" t="s">
        <v>429</v>
      </c>
      <c r="V10" s="201" t="s">
        <v>437</v>
      </c>
      <c r="W10" s="202"/>
      <c r="X10" s="202"/>
      <c r="Y10" s="201" t="s">
        <v>605</v>
      </c>
      <c r="Z10" s="204"/>
      <c r="AA10" s="197"/>
      <c r="AB10" s="97"/>
    </row>
    <row r="11" spans="1:28" s="63" customFormat="1" ht="55.2" x14ac:dyDescent="0.3">
      <c r="A11" s="96" t="s">
        <v>361</v>
      </c>
      <c r="B11" s="196" t="s">
        <v>547</v>
      </c>
      <c r="C11" s="196" t="s">
        <v>547</v>
      </c>
      <c r="D11" s="198" t="s">
        <v>403</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201" t="s">
        <v>606</v>
      </c>
      <c r="Z11" s="204"/>
      <c r="AA11" s="197"/>
      <c r="AB11" s="97"/>
    </row>
    <row r="12" spans="1:28" s="63" customFormat="1" ht="55.2" x14ac:dyDescent="0.3">
      <c r="A12" s="96" t="s">
        <v>362</v>
      </c>
      <c r="B12" s="196" t="s">
        <v>548</v>
      </c>
      <c r="C12" s="196" t="s">
        <v>548</v>
      </c>
      <c r="D12" s="198" t="s">
        <v>403</v>
      </c>
      <c r="E12" s="199" t="s">
        <v>412</v>
      </c>
      <c r="F12" s="200"/>
      <c r="G12" s="197"/>
      <c r="H12" s="197" t="s">
        <v>399</v>
      </c>
      <c r="I12" s="208"/>
      <c r="J12" s="208"/>
      <c r="K12" s="208"/>
      <c r="L12" s="209"/>
      <c r="M12" s="209"/>
      <c r="N12" s="209"/>
      <c r="O12" s="193" t="s">
        <v>428</v>
      </c>
      <c r="P12" s="193"/>
      <c r="Q12" s="193"/>
      <c r="R12" s="193"/>
      <c r="S12" s="193" t="s">
        <v>593</v>
      </c>
      <c r="T12" s="201"/>
      <c r="U12" s="201" t="s">
        <v>429</v>
      </c>
      <c r="V12" s="201" t="s">
        <v>437</v>
      </c>
      <c r="W12" s="202"/>
      <c r="X12" s="202"/>
      <c r="Y12" s="201" t="s">
        <v>607</v>
      </c>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P5" sqref="P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décès - rente spéciale de survie</v>
      </c>
      <c r="C1" s="164" t="str">
        <f ca="1">IF(OFFSET('Inventaire des régimes'!C5,(_xlfn.SHEET()-2),0)=0,"Name of Scheme in English", OFFSET('Inventaire des régimes'!C5,(_xlfn.SHEET()-2),0))</f>
        <v>Assurance décès -rente spéciale de survie</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63" t="s">
        <v>558</v>
      </c>
      <c r="C5" s="196" t="s">
        <v>558</v>
      </c>
      <c r="D5" s="190" t="s">
        <v>402</v>
      </c>
      <c r="E5" s="191" t="s">
        <v>417</v>
      </c>
      <c r="F5" s="190"/>
      <c r="G5" s="189"/>
      <c r="H5" s="189" t="s">
        <v>399</v>
      </c>
      <c r="I5" s="205"/>
      <c r="J5" s="205"/>
      <c r="K5" s="205"/>
      <c r="L5" s="206"/>
      <c r="M5" s="207"/>
      <c r="N5" s="207"/>
      <c r="O5" s="192" t="s">
        <v>427</v>
      </c>
      <c r="P5" s="193" t="s">
        <v>433</v>
      </c>
      <c r="Q5" s="192"/>
      <c r="R5" s="192"/>
      <c r="S5" s="192" t="s">
        <v>557</v>
      </c>
      <c r="T5" s="194"/>
      <c r="U5" s="194" t="s">
        <v>429</v>
      </c>
      <c r="V5" s="194" t="s">
        <v>437</v>
      </c>
      <c r="W5" s="195"/>
      <c r="X5" s="195"/>
      <c r="Y5" s="194" t="s">
        <v>561</v>
      </c>
      <c r="Z5" s="203"/>
      <c r="AA5" s="189"/>
      <c r="AB5" s="97"/>
    </row>
    <row r="6" spans="1:28" s="63" customFormat="1" ht="55.2" x14ac:dyDescent="0.3">
      <c r="A6" s="96" t="s">
        <v>356</v>
      </c>
      <c r="B6" s="196" t="s">
        <v>550</v>
      </c>
      <c r="C6" s="196" t="s">
        <v>550</v>
      </c>
      <c r="D6" s="198" t="s">
        <v>402</v>
      </c>
      <c r="E6" s="199" t="s">
        <v>417</v>
      </c>
      <c r="F6" s="200"/>
      <c r="G6" s="197"/>
      <c r="H6" s="197" t="s">
        <v>399</v>
      </c>
      <c r="I6" s="208"/>
      <c r="J6" s="208"/>
      <c r="K6" s="208"/>
      <c r="L6" s="209"/>
      <c r="M6" s="209"/>
      <c r="N6" s="209"/>
      <c r="O6" s="193" t="s">
        <v>427</v>
      </c>
      <c r="P6" s="193" t="s">
        <v>432</v>
      </c>
      <c r="Q6" s="193"/>
      <c r="R6" s="193"/>
      <c r="S6" s="193" t="s">
        <v>559</v>
      </c>
      <c r="T6" s="201"/>
      <c r="U6" s="201" t="s">
        <v>429</v>
      </c>
      <c r="V6" s="201" t="s">
        <v>437</v>
      </c>
      <c r="W6" s="202"/>
      <c r="X6" s="202"/>
      <c r="Y6" s="201" t="s">
        <v>562</v>
      </c>
      <c r="Z6" s="204"/>
      <c r="AA6" s="197"/>
      <c r="AB6" s="97"/>
    </row>
    <row r="7" spans="1:28" s="63" customFormat="1" ht="55.2" x14ac:dyDescent="0.3">
      <c r="A7" s="96" t="s">
        <v>357</v>
      </c>
      <c r="B7" s="196" t="s">
        <v>551</v>
      </c>
      <c r="C7" s="196" t="s">
        <v>551</v>
      </c>
      <c r="D7" s="198" t="s">
        <v>402</v>
      </c>
      <c r="E7" s="199"/>
      <c r="F7" s="200" t="s">
        <v>223</v>
      </c>
      <c r="G7" s="197"/>
      <c r="H7" s="197" t="s">
        <v>399</v>
      </c>
      <c r="I7" s="208"/>
      <c r="J7" s="208"/>
      <c r="K7" s="208"/>
      <c r="L7" s="209"/>
      <c r="M7" s="209"/>
      <c r="N7" s="209"/>
      <c r="O7" s="193" t="s">
        <v>427</v>
      </c>
      <c r="P7" s="193" t="s">
        <v>432</v>
      </c>
      <c r="Q7" s="193"/>
      <c r="R7" s="193"/>
      <c r="S7" s="193" t="s">
        <v>559</v>
      </c>
      <c r="T7" s="201"/>
      <c r="U7" s="201" t="s">
        <v>429</v>
      </c>
      <c r="V7" s="201" t="s">
        <v>437</v>
      </c>
      <c r="W7" s="202"/>
      <c r="X7" s="202"/>
      <c r="Y7" s="201" t="s">
        <v>563</v>
      </c>
      <c r="Z7" s="204"/>
      <c r="AA7" s="197"/>
      <c r="AB7" s="97"/>
    </row>
    <row r="8" spans="1:28" s="63" customFormat="1" ht="55.2" x14ac:dyDescent="0.3">
      <c r="A8" s="96" t="s">
        <v>358</v>
      </c>
      <c r="B8" s="196" t="s">
        <v>552</v>
      </c>
      <c r="C8" s="196" t="s">
        <v>552</v>
      </c>
      <c r="D8" s="198" t="s">
        <v>402</v>
      </c>
      <c r="E8" s="199" t="s">
        <v>417</v>
      </c>
      <c r="F8" s="200"/>
      <c r="G8" s="197"/>
      <c r="H8" s="197" t="s">
        <v>399</v>
      </c>
      <c r="I8" s="208"/>
      <c r="J8" s="208"/>
      <c r="K8" s="208"/>
      <c r="L8" s="209"/>
      <c r="M8" s="209"/>
      <c r="N8" s="209"/>
      <c r="O8" s="193" t="s">
        <v>427</v>
      </c>
      <c r="P8" s="193" t="s">
        <v>433</v>
      </c>
      <c r="Q8" s="193"/>
      <c r="R8" s="193"/>
      <c r="S8" s="193" t="s">
        <v>557</v>
      </c>
      <c r="T8" s="201"/>
      <c r="U8" s="201" t="s">
        <v>429</v>
      </c>
      <c r="V8" s="201" t="s">
        <v>437</v>
      </c>
      <c r="W8" s="202"/>
      <c r="X8" s="202"/>
      <c r="Y8" s="201" t="s">
        <v>561</v>
      </c>
      <c r="Z8" s="204"/>
      <c r="AA8" s="197"/>
      <c r="AB8" s="97"/>
    </row>
    <row r="9" spans="1:28" s="63" customFormat="1" ht="82.8" x14ac:dyDescent="0.3">
      <c r="A9" s="96" t="s">
        <v>359</v>
      </c>
      <c r="B9" s="196" t="s">
        <v>553</v>
      </c>
      <c r="C9" s="196" t="s">
        <v>553</v>
      </c>
      <c r="D9" s="198" t="s">
        <v>402</v>
      </c>
      <c r="E9" s="199"/>
      <c r="F9" s="200" t="s">
        <v>223</v>
      </c>
      <c r="G9" s="197"/>
      <c r="H9" s="197" t="s">
        <v>399</v>
      </c>
      <c r="I9" s="208"/>
      <c r="J9" s="208"/>
      <c r="K9" s="208"/>
      <c r="L9" s="209"/>
      <c r="M9" s="209"/>
      <c r="N9" s="209"/>
      <c r="O9" s="193" t="s">
        <v>427</v>
      </c>
      <c r="P9" s="193" t="s">
        <v>432</v>
      </c>
      <c r="Q9" s="193"/>
      <c r="R9" s="193"/>
      <c r="S9" s="193" t="s">
        <v>560</v>
      </c>
      <c r="T9" s="201"/>
      <c r="U9" s="201" t="s">
        <v>429</v>
      </c>
      <c r="V9" s="201" t="s">
        <v>437</v>
      </c>
      <c r="W9" s="202"/>
      <c r="X9" s="202"/>
      <c r="Y9" s="201" t="s">
        <v>564</v>
      </c>
      <c r="Z9" s="204"/>
      <c r="AA9" s="197"/>
      <c r="AB9" s="97"/>
    </row>
    <row r="10" spans="1:28" s="63" customFormat="1" ht="55.2" x14ac:dyDescent="0.3">
      <c r="A10" s="96" t="s">
        <v>360</v>
      </c>
      <c r="B10" s="196" t="s">
        <v>554</v>
      </c>
      <c r="C10" s="196" t="s">
        <v>554</v>
      </c>
      <c r="D10" s="198" t="s">
        <v>402</v>
      </c>
      <c r="E10" s="199" t="s">
        <v>417</v>
      </c>
      <c r="F10" s="200"/>
      <c r="G10" s="197"/>
      <c r="H10" s="197" t="s">
        <v>399</v>
      </c>
      <c r="I10" s="208"/>
      <c r="J10" s="208"/>
      <c r="K10" s="208"/>
      <c r="L10" s="210"/>
      <c r="M10" s="209"/>
      <c r="N10" s="209"/>
      <c r="O10" s="193" t="s">
        <v>427</v>
      </c>
      <c r="P10" s="193" t="s">
        <v>433</v>
      </c>
      <c r="Q10" s="193"/>
      <c r="R10" s="193"/>
      <c r="S10" s="193" t="s">
        <v>557</v>
      </c>
      <c r="T10" s="201"/>
      <c r="U10" s="201" t="s">
        <v>429</v>
      </c>
      <c r="V10" s="201" t="s">
        <v>437</v>
      </c>
      <c r="W10" s="202"/>
      <c r="X10" s="202"/>
      <c r="Y10" s="201" t="s">
        <v>565</v>
      </c>
      <c r="Z10" s="204"/>
      <c r="AA10" s="197"/>
      <c r="AB10" s="97"/>
    </row>
    <row r="11" spans="1:28" s="63" customFormat="1" ht="69" x14ac:dyDescent="0.3">
      <c r="A11" s="96" t="s">
        <v>361</v>
      </c>
      <c r="B11" s="196" t="s">
        <v>555</v>
      </c>
      <c r="C11" s="196" t="s">
        <v>555</v>
      </c>
      <c r="D11" s="198" t="s">
        <v>402</v>
      </c>
      <c r="E11" s="199" t="s">
        <v>417</v>
      </c>
      <c r="F11" s="200"/>
      <c r="G11" s="197"/>
      <c r="H11" s="197" t="s">
        <v>399</v>
      </c>
      <c r="I11" s="208"/>
      <c r="J11" s="208"/>
      <c r="K11" s="208"/>
      <c r="L11" s="209"/>
      <c r="M11" s="209"/>
      <c r="N11" s="209"/>
      <c r="O11" s="193" t="s">
        <v>427</v>
      </c>
      <c r="P11" s="193" t="s">
        <v>433</v>
      </c>
      <c r="Q11" s="193"/>
      <c r="R11" s="193"/>
      <c r="S11" s="193" t="s">
        <v>557</v>
      </c>
      <c r="T11" s="201"/>
      <c r="U11" s="201" t="s">
        <v>429</v>
      </c>
      <c r="V11" s="201" t="s">
        <v>437</v>
      </c>
      <c r="W11" s="202"/>
      <c r="X11" s="202"/>
      <c r="Y11" s="201" t="s">
        <v>566</v>
      </c>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556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U13" sqref="U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risques liés à l'exercice du mandat parlementaire</v>
      </c>
      <c r="C1" s="164" t="str">
        <f ca="1">IF(OFFSET('Inventaire des régimes'!C5,(_xlfn.SHEET()-2),0)=0,"Name of Scheme in English", OFFSET('Inventaire des régimes'!C5,(_xlfn.SHEET()-2),0))</f>
        <v>Branche des risques liés à l'exercice du mandat parlementaire</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567</v>
      </c>
      <c r="C5" s="188" t="s">
        <v>567</v>
      </c>
      <c r="D5" s="190" t="s">
        <v>227</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201" t="s">
        <v>580</v>
      </c>
      <c r="Z5" s="203"/>
      <c r="AA5" s="189"/>
      <c r="AB5" s="97"/>
    </row>
    <row r="6" spans="1:28" s="63" customFormat="1" ht="55.2" x14ac:dyDescent="0.3">
      <c r="A6" s="96" t="s">
        <v>356</v>
      </c>
      <c r="B6" s="196" t="s">
        <v>568</v>
      </c>
      <c r="C6" s="196" t="s">
        <v>568</v>
      </c>
      <c r="D6" s="198" t="s">
        <v>401</v>
      </c>
      <c r="E6" s="199" t="s">
        <v>412</v>
      </c>
      <c r="F6" s="200"/>
      <c r="G6" s="197"/>
      <c r="H6" s="197" t="s">
        <v>399</v>
      </c>
      <c r="I6" s="208"/>
      <c r="J6" s="208"/>
      <c r="K6" s="208"/>
      <c r="L6" s="209"/>
      <c r="M6" s="209"/>
      <c r="N6" s="209"/>
      <c r="O6" s="193" t="s">
        <v>427</v>
      </c>
      <c r="P6" s="193" t="s">
        <v>432</v>
      </c>
      <c r="Q6" s="193"/>
      <c r="R6" s="193"/>
      <c r="S6" s="193" t="s">
        <v>531</v>
      </c>
      <c r="T6" s="201"/>
      <c r="U6" s="201" t="s">
        <v>429</v>
      </c>
      <c r="V6" s="201" t="s">
        <v>437</v>
      </c>
      <c r="W6" s="202"/>
      <c r="X6" s="202"/>
      <c r="Y6" s="201" t="s">
        <v>581</v>
      </c>
      <c r="Z6" s="204"/>
      <c r="AA6" s="197"/>
      <c r="AB6" s="97"/>
    </row>
    <row r="7" spans="1:28" s="63" customFormat="1" ht="55.2" x14ac:dyDescent="0.3">
      <c r="A7" s="96" t="s">
        <v>357</v>
      </c>
      <c r="B7" s="196" t="s">
        <v>569</v>
      </c>
      <c r="C7" s="196" t="s">
        <v>569</v>
      </c>
      <c r="D7" s="198" t="s">
        <v>401</v>
      </c>
      <c r="E7" s="199" t="s">
        <v>412</v>
      </c>
      <c r="F7" s="200"/>
      <c r="G7" s="197"/>
      <c r="H7" s="197" t="s">
        <v>399</v>
      </c>
      <c r="I7" s="208"/>
      <c r="J7" s="208"/>
      <c r="K7" s="208"/>
      <c r="L7" s="209"/>
      <c r="M7" s="209"/>
      <c r="N7" s="209"/>
      <c r="O7" s="193" t="s">
        <v>427</v>
      </c>
      <c r="P7" s="193" t="s">
        <v>432</v>
      </c>
      <c r="Q7" s="193"/>
      <c r="R7" s="193"/>
      <c r="S7" s="193" t="s">
        <v>531</v>
      </c>
      <c r="T7" s="201"/>
      <c r="U7" s="201" t="s">
        <v>429</v>
      </c>
      <c r="V7" s="201" t="s">
        <v>437</v>
      </c>
      <c r="W7" s="202"/>
      <c r="X7" s="202"/>
      <c r="Y7" s="201" t="s">
        <v>582</v>
      </c>
      <c r="Z7" s="204"/>
      <c r="AA7" s="197"/>
      <c r="AB7" s="97"/>
    </row>
    <row r="8" spans="1:28" s="63" customFormat="1" ht="69" x14ac:dyDescent="0.3">
      <c r="A8" s="96" t="s">
        <v>358</v>
      </c>
      <c r="B8" s="196" t="s">
        <v>570</v>
      </c>
      <c r="C8" s="196" t="s">
        <v>570</v>
      </c>
      <c r="D8" s="198" t="s">
        <v>401</v>
      </c>
      <c r="E8" s="199" t="s">
        <v>412</v>
      </c>
      <c r="F8" s="200"/>
      <c r="G8" s="197"/>
      <c r="H8" s="197" t="s">
        <v>399</v>
      </c>
      <c r="I8" s="208"/>
      <c r="J8" s="208"/>
      <c r="K8" s="208"/>
      <c r="L8" s="209"/>
      <c r="M8" s="209"/>
      <c r="N8" s="209"/>
      <c r="O8" s="193" t="s">
        <v>427</v>
      </c>
      <c r="P8" s="193" t="s">
        <v>432</v>
      </c>
      <c r="Q8" s="193"/>
      <c r="R8" s="193"/>
      <c r="S8" s="193" t="s">
        <v>578</v>
      </c>
      <c r="T8" s="201"/>
      <c r="U8" s="201" t="s">
        <v>429</v>
      </c>
      <c r="V8" s="201" t="s">
        <v>437</v>
      </c>
      <c r="W8" s="202"/>
      <c r="X8" s="202"/>
      <c r="Y8" s="201" t="s">
        <v>583</v>
      </c>
      <c r="Z8" s="204"/>
      <c r="AA8" s="197"/>
      <c r="AB8" s="97"/>
    </row>
    <row r="9" spans="1:28" s="63" customFormat="1" ht="55.2" x14ac:dyDescent="0.3">
      <c r="A9" s="96" t="s">
        <v>359</v>
      </c>
      <c r="B9" s="196" t="s">
        <v>571</v>
      </c>
      <c r="C9" s="196" t="s">
        <v>571</v>
      </c>
      <c r="D9" s="198" t="s">
        <v>401</v>
      </c>
      <c r="E9" s="199" t="s">
        <v>412</v>
      </c>
      <c r="F9" s="200"/>
      <c r="G9" s="197"/>
      <c r="H9" s="197" t="s">
        <v>399</v>
      </c>
      <c r="I9" s="208"/>
      <c r="J9" s="208"/>
      <c r="K9" s="208"/>
      <c r="L9" s="209"/>
      <c r="M9" s="209"/>
      <c r="N9" s="209"/>
      <c r="O9" s="193" t="s">
        <v>427</v>
      </c>
      <c r="P9" s="193" t="s">
        <v>433</v>
      </c>
      <c r="Q9" s="193"/>
      <c r="R9" s="193"/>
      <c r="S9" s="193" t="s">
        <v>557</v>
      </c>
      <c r="T9" s="201"/>
      <c r="U9" s="201" t="s">
        <v>429</v>
      </c>
      <c r="V9" s="201" t="s">
        <v>437</v>
      </c>
      <c r="W9" s="202"/>
      <c r="X9" s="202"/>
      <c r="Y9" s="201" t="s">
        <v>584</v>
      </c>
      <c r="Z9" s="204"/>
      <c r="AA9" s="197"/>
      <c r="AB9" s="97"/>
    </row>
    <row r="10" spans="1:28" s="63" customFormat="1" ht="55.2" x14ac:dyDescent="0.3">
      <c r="A10" s="96" t="s">
        <v>360</v>
      </c>
      <c r="B10" s="196" t="s">
        <v>572</v>
      </c>
      <c r="C10" s="196" t="s">
        <v>572</v>
      </c>
      <c r="D10" s="198" t="s">
        <v>403</v>
      </c>
      <c r="E10" s="199" t="s">
        <v>412</v>
      </c>
      <c r="F10" s="200"/>
      <c r="G10" s="197"/>
      <c r="H10" s="197" t="s">
        <v>399</v>
      </c>
      <c r="I10" s="208"/>
      <c r="J10" s="208"/>
      <c r="K10" s="208"/>
      <c r="L10" s="210"/>
      <c r="M10" s="209"/>
      <c r="N10" s="209"/>
      <c r="O10" s="193" t="s">
        <v>428</v>
      </c>
      <c r="P10" s="193"/>
      <c r="Q10" s="193"/>
      <c r="R10" s="193"/>
      <c r="S10" s="193" t="s">
        <v>579</v>
      </c>
      <c r="T10" s="201"/>
      <c r="U10" s="201" t="s">
        <v>429</v>
      </c>
      <c r="V10" s="201" t="s">
        <v>437</v>
      </c>
      <c r="W10" s="202"/>
      <c r="X10" s="202"/>
      <c r="Y10" s="63" t="s">
        <v>580</v>
      </c>
      <c r="Z10" s="204"/>
      <c r="AA10" s="197"/>
      <c r="AB10" s="97"/>
    </row>
    <row r="11" spans="1:28" s="63" customFormat="1" ht="55.2" x14ac:dyDescent="0.3">
      <c r="A11" s="96" t="s">
        <v>361</v>
      </c>
      <c r="B11" s="196" t="s">
        <v>573</v>
      </c>
      <c r="C11" s="196" t="s">
        <v>573</v>
      </c>
      <c r="D11" s="198" t="s">
        <v>401</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63" t="s">
        <v>585</v>
      </c>
      <c r="Z11" s="204"/>
      <c r="AA11" s="197"/>
      <c r="AB11" s="97"/>
    </row>
    <row r="12" spans="1:28" s="63" customFormat="1" ht="96.6" x14ac:dyDescent="0.3">
      <c r="A12" s="96" t="s">
        <v>362</v>
      </c>
      <c r="B12" s="196" t="s">
        <v>574</v>
      </c>
      <c r="C12" s="196" t="s">
        <v>574</v>
      </c>
      <c r="D12" s="198" t="s">
        <v>402</v>
      </c>
      <c r="E12" s="199" t="s">
        <v>417</v>
      </c>
      <c r="F12" s="200"/>
      <c r="G12" s="197"/>
      <c r="H12" s="197" t="s">
        <v>399</v>
      </c>
      <c r="I12" s="208"/>
      <c r="J12" s="208"/>
      <c r="K12" s="208"/>
      <c r="L12" s="209"/>
      <c r="M12" s="209"/>
      <c r="N12" s="209"/>
      <c r="O12" s="193" t="s">
        <v>427</v>
      </c>
      <c r="P12" s="193" t="s">
        <v>432</v>
      </c>
      <c r="Q12" s="193"/>
      <c r="R12" s="193"/>
      <c r="S12" s="193" t="s">
        <v>531</v>
      </c>
      <c r="T12" s="201"/>
      <c r="U12" s="201" t="s">
        <v>429</v>
      </c>
      <c r="V12" s="201" t="s">
        <v>437</v>
      </c>
      <c r="W12" s="202"/>
      <c r="X12" s="202"/>
      <c r="Y12" s="201" t="s">
        <v>586</v>
      </c>
      <c r="Z12" s="204"/>
      <c r="AA12" s="197"/>
      <c r="AB12" s="97"/>
    </row>
    <row r="13" spans="1:28" s="63" customFormat="1" ht="151.80000000000001" x14ac:dyDescent="0.3">
      <c r="A13" s="96" t="s">
        <v>363</v>
      </c>
      <c r="B13" s="196" t="s">
        <v>575</v>
      </c>
      <c r="C13" s="196" t="s">
        <v>575</v>
      </c>
      <c r="D13" s="198" t="s">
        <v>402</v>
      </c>
      <c r="E13" s="199" t="s">
        <v>417</v>
      </c>
      <c r="F13" s="200"/>
      <c r="G13" s="197"/>
      <c r="H13" s="197" t="s">
        <v>399</v>
      </c>
      <c r="I13" s="208"/>
      <c r="J13" s="208"/>
      <c r="K13" s="208"/>
      <c r="L13" s="209"/>
      <c r="M13" s="209"/>
      <c r="N13" s="209"/>
      <c r="O13" s="193" t="s">
        <v>427</v>
      </c>
      <c r="P13" s="193" t="s">
        <v>433</v>
      </c>
      <c r="Q13" s="193"/>
      <c r="R13" s="193"/>
      <c r="S13" s="193" t="s">
        <v>557</v>
      </c>
      <c r="T13" s="201"/>
      <c r="U13" s="201" t="s">
        <v>429</v>
      </c>
      <c r="V13" s="201" t="s">
        <v>437</v>
      </c>
      <c r="W13" s="202"/>
      <c r="X13" s="202"/>
      <c r="Y13" s="201" t="s">
        <v>587</v>
      </c>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576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maternité des parlementaires</v>
      </c>
      <c r="C1" s="164" t="str">
        <f ca="1">IF(OFFSET('Inventaire des régimes'!C5,(_xlfn.SHEET()-2),0)=0,"Name of Scheme in English", OFFSET('Inventaire des régimes'!C5,(_xlfn.SHEET()-2),0))</f>
        <v>Assurance maternité des parlementaires</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588</v>
      </c>
      <c r="C5" s="188" t="s">
        <v>588</v>
      </c>
      <c r="D5" s="190" t="s">
        <v>404</v>
      </c>
      <c r="E5" s="191" t="s">
        <v>412</v>
      </c>
      <c r="F5" s="190"/>
      <c r="G5" s="189"/>
      <c r="H5" s="189" t="s">
        <v>399</v>
      </c>
      <c r="I5" s="205"/>
      <c r="J5" s="205"/>
      <c r="K5" s="205"/>
      <c r="L5" s="206"/>
      <c r="M5" s="207"/>
      <c r="N5" s="207"/>
      <c r="O5" s="192" t="s">
        <v>428</v>
      </c>
      <c r="P5" s="193"/>
      <c r="Q5" s="192"/>
      <c r="R5" s="192"/>
      <c r="S5" s="192" t="s">
        <v>557</v>
      </c>
      <c r="T5" s="194"/>
      <c r="U5" s="194" t="s">
        <v>429</v>
      </c>
      <c r="V5" s="194" t="s">
        <v>437</v>
      </c>
      <c r="W5" s="195"/>
      <c r="X5" s="195"/>
      <c r="Y5" s="194" t="s">
        <v>595</v>
      </c>
      <c r="Z5" s="203"/>
      <c r="AA5" s="189"/>
      <c r="AB5" s="97"/>
    </row>
    <row r="6" spans="1:28" s="63" customFormat="1" ht="55.2" x14ac:dyDescent="0.3">
      <c r="A6" s="96" t="s">
        <v>356</v>
      </c>
      <c r="B6" s="196" t="s">
        <v>589</v>
      </c>
      <c r="C6" s="196" t="s">
        <v>589</v>
      </c>
      <c r="D6" s="198" t="s">
        <v>404</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596</v>
      </c>
      <c r="Z6" s="204"/>
      <c r="AA6" s="197"/>
      <c r="AB6" s="97"/>
    </row>
    <row r="7" spans="1:28" s="63" customFormat="1" ht="82.8" x14ac:dyDescent="0.3">
      <c r="A7" s="96" t="s">
        <v>357</v>
      </c>
      <c r="B7" s="196" t="s">
        <v>590</v>
      </c>
      <c r="C7" s="196" t="s">
        <v>590</v>
      </c>
      <c r="D7" s="198" t="s">
        <v>404</v>
      </c>
      <c r="E7" s="199" t="s">
        <v>412</v>
      </c>
      <c r="F7" s="200"/>
      <c r="G7" s="197"/>
      <c r="H7" s="197" t="s">
        <v>399</v>
      </c>
      <c r="I7" s="208"/>
      <c r="J7" s="208"/>
      <c r="K7" s="208"/>
      <c r="L7" s="209"/>
      <c r="M7" s="209"/>
      <c r="N7" s="209"/>
      <c r="O7" s="193" t="s">
        <v>428</v>
      </c>
      <c r="P7" s="193"/>
      <c r="Q7" s="193"/>
      <c r="R7" s="193"/>
      <c r="S7" s="193" t="s">
        <v>593</v>
      </c>
      <c r="T7" s="201"/>
      <c r="U7" s="201" t="s">
        <v>429</v>
      </c>
      <c r="V7" s="201" t="s">
        <v>437</v>
      </c>
      <c r="W7" s="202"/>
      <c r="X7" s="202"/>
      <c r="Y7" s="201" t="s">
        <v>598</v>
      </c>
      <c r="Z7" s="204"/>
      <c r="AA7" s="197"/>
      <c r="AB7" s="97"/>
    </row>
    <row r="8" spans="1:28" s="63" customFormat="1" ht="55.2" x14ac:dyDescent="0.3">
      <c r="A8" s="96" t="s">
        <v>358</v>
      </c>
      <c r="B8" s="196" t="s">
        <v>591</v>
      </c>
      <c r="C8" s="196" t="s">
        <v>591</v>
      </c>
      <c r="D8" s="198" t="s">
        <v>404</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597</v>
      </c>
      <c r="Z8" s="204"/>
      <c r="AA8" s="197"/>
      <c r="AB8" s="97"/>
    </row>
    <row r="9" spans="1:28" s="63" customFormat="1" ht="69" x14ac:dyDescent="0.3">
      <c r="A9" s="96" t="s">
        <v>359</v>
      </c>
      <c r="B9" s="196" t="s">
        <v>592</v>
      </c>
      <c r="C9" s="196" t="s">
        <v>592</v>
      </c>
      <c r="D9" s="198" t="s">
        <v>404</v>
      </c>
      <c r="E9" s="199" t="s">
        <v>412</v>
      </c>
      <c r="F9" s="200"/>
      <c r="G9" s="197"/>
      <c r="H9" s="197" t="s">
        <v>399</v>
      </c>
      <c r="I9" s="208"/>
      <c r="J9" s="208"/>
      <c r="K9" s="208"/>
      <c r="L9" s="209"/>
      <c r="M9" s="209"/>
      <c r="N9" s="209"/>
      <c r="O9" s="193" t="s">
        <v>427</v>
      </c>
      <c r="P9" s="193" t="s">
        <v>432</v>
      </c>
      <c r="Q9" s="193"/>
      <c r="R9" s="193"/>
      <c r="S9" s="193" t="s">
        <v>594</v>
      </c>
      <c r="T9" s="201"/>
      <c r="U9" s="201" t="s">
        <v>429</v>
      </c>
      <c r="V9" s="201" t="s">
        <v>437</v>
      </c>
      <c r="W9" s="202"/>
      <c r="X9" s="202"/>
      <c r="Y9" s="201" t="s">
        <v>599</v>
      </c>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600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4" t="s">
        <v>370</v>
      </c>
      <c r="B4" s="234"/>
      <c r="C4" s="234"/>
      <c r="D4" s="234"/>
      <c r="E4" s="234"/>
      <c r="F4" s="234"/>
      <c r="G4" s="234"/>
    </row>
    <row r="5" spans="1:7" ht="15" customHeight="1" x14ac:dyDescent="0.3">
      <c r="A5" s="125"/>
      <c r="B5" s="235" t="s">
        <v>376</v>
      </c>
      <c r="C5" s="236"/>
      <c r="D5" s="235" t="s">
        <v>377</v>
      </c>
      <c r="E5" s="236"/>
      <c r="F5" s="235" t="s">
        <v>378</v>
      </c>
      <c r="G5" s="236"/>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7"/>
      <c r="C28" s="237"/>
      <c r="D28" s="88" t="s">
        <v>17</v>
      </c>
      <c r="E28" s="237"/>
      <c r="F28" s="23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8" t="s">
        <v>163</v>
      </c>
      <c r="G1" s="238"/>
      <c r="H1" s="238"/>
      <c r="I1" s="239" t="s">
        <v>164</v>
      </c>
      <c r="J1" s="239"/>
      <c r="K1" s="239"/>
      <c r="L1" s="240" t="s">
        <v>148</v>
      </c>
      <c r="M1" s="240"/>
      <c r="N1" s="24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4" t="s">
        <v>161</v>
      </c>
      <c r="G3" s="244"/>
      <c r="H3" s="244"/>
      <c r="I3" s="42">
        <f>'ADDITIONAL statistics for SDGs'!B9</f>
        <v>0</v>
      </c>
      <c r="J3" s="43" t="s">
        <v>18</v>
      </c>
      <c r="K3" s="43" t="s">
        <v>18</v>
      </c>
      <c r="L3" s="44" t="e">
        <f>20294/I3</f>
        <v>#DIV/0!</v>
      </c>
      <c r="M3" s="43" t="s">
        <v>18</v>
      </c>
      <c r="N3" s="43" t="s">
        <v>18</v>
      </c>
    </row>
    <row r="4" spans="1:14" ht="43.2" x14ac:dyDescent="0.3">
      <c r="A4" s="24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1" t="s">
        <v>118</v>
      </c>
      <c r="B30" s="6" t="s">
        <v>119</v>
      </c>
      <c r="C30" s="243" t="s">
        <v>120</v>
      </c>
      <c r="D30" s="6"/>
      <c r="E30" s="6"/>
      <c r="F30" s="31"/>
      <c r="G30" s="33"/>
      <c r="H30" s="33"/>
      <c r="I30" s="31"/>
      <c r="J30" s="31"/>
      <c r="K30" s="31"/>
      <c r="L30" s="34"/>
      <c r="M30" s="34"/>
      <c r="N30" s="34"/>
    </row>
    <row r="31" spans="1:14" x14ac:dyDescent="0.3">
      <c r="A31" s="241"/>
      <c r="B31" s="7" t="s">
        <v>3</v>
      </c>
      <c r="C31" s="243"/>
      <c r="D31" s="6" t="s">
        <v>121</v>
      </c>
      <c r="E31" s="6" t="s">
        <v>122</v>
      </c>
      <c r="F31" s="31"/>
      <c r="G31" s="31"/>
      <c r="H31" s="31"/>
      <c r="I31" s="31">
        <f>'ADDITIONAL statistics for SDGs'!$B$31</f>
        <v>0</v>
      </c>
      <c r="J31" s="31"/>
      <c r="K31" s="31"/>
      <c r="L31" s="34" t="e">
        <f t="shared" ref="L31:L39" si="4">F31/I31</f>
        <v>#DIV/0!</v>
      </c>
      <c r="M31" s="31"/>
      <c r="N31" s="31"/>
    </row>
    <row r="32" spans="1:14" x14ac:dyDescent="0.3">
      <c r="A32" s="241"/>
      <c r="B32" s="7" t="s">
        <v>4</v>
      </c>
      <c r="C32" s="243"/>
      <c r="D32" s="6" t="s">
        <v>123</v>
      </c>
      <c r="E32" s="6" t="s">
        <v>122</v>
      </c>
      <c r="F32" s="31"/>
      <c r="G32" s="31"/>
      <c r="H32" s="31"/>
      <c r="I32" s="31">
        <f>'ADDITIONAL statistics for SDGs'!$B$31</f>
        <v>0</v>
      </c>
      <c r="J32" s="31"/>
      <c r="K32" s="31"/>
      <c r="L32" s="34" t="e">
        <f t="shared" si="4"/>
        <v>#DIV/0!</v>
      </c>
      <c r="M32" s="31"/>
      <c r="N32" s="31"/>
    </row>
    <row r="33" spans="1:14" x14ac:dyDescent="0.3">
      <c r="A33" s="241"/>
      <c r="B33" s="7" t="s">
        <v>11</v>
      </c>
      <c r="C33" s="243"/>
      <c r="D33" s="6" t="s">
        <v>124</v>
      </c>
      <c r="E33" s="6" t="s">
        <v>122</v>
      </c>
      <c r="F33" s="31"/>
      <c r="G33" s="31"/>
      <c r="H33" s="31"/>
      <c r="I33" s="31">
        <f>'ADDITIONAL statistics for SDGs'!$B$31</f>
        <v>0</v>
      </c>
      <c r="J33" s="31"/>
      <c r="K33" s="31"/>
      <c r="L33" s="34" t="e">
        <f t="shared" si="4"/>
        <v>#DIV/0!</v>
      </c>
      <c r="M33" s="31"/>
      <c r="N33" s="31"/>
    </row>
    <row r="34" spans="1:14" x14ac:dyDescent="0.3">
      <c r="A34" s="241"/>
      <c r="B34" s="7" t="s">
        <v>5</v>
      </c>
      <c r="C34" s="243"/>
      <c r="D34" s="6" t="s">
        <v>125</v>
      </c>
      <c r="E34" s="6" t="s">
        <v>122</v>
      </c>
      <c r="F34" s="31"/>
      <c r="G34" s="31"/>
      <c r="H34" s="31"/>
      <c r="I34" s="31">
        <f>'ADDITIONAL statistics for SDGs'!$B$31</f>
        <v>0</v>
      </c>
      <c r="J34" s="31"/>
      <c r="K34" s="31"/>
      <c r="L34" s="34" t="e">
        <f t="shared" si="4"/>
        <v>#DIV/0!</v>
      </c>
      <c r="M34" s="31"/>
      <c r="N34" s="31"/>
    </row>
    <row r="35" spans="1:14" ht="28.8" x14ac:dyDescent="0.3">
      <c r="A35" s="241"/>
      <c r="B35" s="6" t="s">
        <v>126</v>
      </c>
      <c r="C35" s="245" t="s">
        <v>127</v>
      </c>
      <c r="D35" s="6"/>
      <c r="E35" s="6"/>
      <c r="F35" s="31"/>
      <c r="G35" s="31"/>
      <c r="H35" s="31"/>
      <c r="I35" s="31"/>
      <c r="J35" s="31"/>
      <c r="K35" s="31"/>
      <c r="L35" s="34"/>
      <c r="M35" s="31"/>
      <c r="N35" s="31"/>
    </row>
    <row r="36" spans="1:14" x14ac:dyDescent="0.3">
      <c r="A36" s="241"/>
      <c r="B36" s="7" t="s">
        <v>3</v>
      </c>
      <c r="C36" s="246"/>
      <c r="D36" s="6" t="s">
        <v>128</v>
      </c>
      <c r="E36" s="6" t="s">
        <v>129</v>
      </c>
      <c r="F36" s="31"/>
      <c r="G36" s="33"/>
      <c r="H36" s="33"/>
      <c r="I36" s="33">
        <f>'ADDITIONAL statistics for SDGs'!$B$30</f>
        <v>0</v>
      </c>
      <c r="J36" s="33"/>
      <c r="K36" s="33"/>
      <c r="L36" s="34" t="e">
        <f t="shared" si="4"/>
        <v>#DIV/0!</v>
      </c>
      <c r="M36" s="33"/>
      <c r="N36" s="33"/>
    </row>
    <row r="37" spans="1:14" x14ac:dyDescent="0.3">
      <c r="A37" s="241"/>
      <c r="B37" s="7" t="s">
        <v>4</v>
      </c>
      <c r="C37" s="246"/>
      <c r="D37" s="6" t="s">
        <v>130</v>
      </c>
      <c r="E37" s="6" t="s">
        <v>129</v>
      </c>
      <c r="F37" s="31"/>
      <c r="G37" s="33"/>
      <c r="H37" s="33"/>
      <c r="I37" s="33">
        <f>'ADDITIONAL statistics for SDGs'!B30</f>
        <v>0</v>
      </c>
      <c r="J37" s="33"/>
      <c r="K37" s="33"/>
      <c r="L37" s="34" t="e">
        <f t="shared" si="4"/>
        <v>#DIV/0!</v>
      </c>
      <c r="M37" s="33"/>
      <c r="N37" s="33"/>
    </row>
    <row r="38" spans="1:14" x14ac:dyDescent="0.3">
      <c r="A38" s="241"/>
      <c r="B38" s="7" t="s">
        <v>11</v>
      </c>
      <c r="C38" s="246"/>
      <c r="D38" s="6" t="s">
        <v>131</v>
      </c>
      <c r="E38" s="6" t="s">
        <v>129</v>
      </c>
      <c r="F38" s="31"/>
      <c r="G38" s="33"/>
      <c r="H38" s="33"/>
      <c r="I38" s="33">
        <f>'ADDITIONAL statistics for SDGs'!B30</f>
        <v>0</v>
      </c>
      <c r="J38" s="33"/>
      <c r="K38" s="33"/>
      <c r="L38" s="34" t="e">
        <f t="shared" si="4"/>
        <v>#DIV/0!</v>
      </c>
      <c r="M38" s="33"/>
      <c r="N38" s="33"/>
    </row>
    <row r="39" spans="1:14" x14ac:dyDescent="0.3">
      <c r="A39" s="241"/>
      <c r="B39" s="7" t="s">
        <v>5</v>
      </c>
      <c r="C39" s="246"/>
      <c r="D39" s="6" t="s">
        <v>132</v>
      </c>
      <c r="E39" s="6" t="s">
        <v>129</v>
      </c>
      <c r="F39" s="31"/>
      <c r="G39" s="33"/>
      <c r="H39" s="33"/>
      <c r="I39" s="33">
        <f>'ADDITIONAL statistics for SDGs'!B30</f>
        <v>0</v>
      </c>
      <c r="J39" s="33"/>
      <c r="K39" s="33"/>
      <c r="L39" s="34" t="e">
        <f t="shared" si="4"/>
        <v>#DIV/0!</v>
      </c>
      <c r="M39" s="33"/>
      <c r="N39" s="33"/>
    </row>
    <row r="40" spans="1:14" x14ac:dyDescent="0.3">
      <c r="A40" s="241"/>
      <c r="C40" s="247"/>
      <c r="D40" s="6"/>
      <c r="E40" s="6"/>
      <c r="F40" s="31"/>
      <c r="G40" s="33"/>
      <c r="H40" s="33"/>
      <c r="I40" s="33"/>
      <c r="J40" s="33"/>
      <c r="K40" s="33"/>
      <c r="L40" s="34"/>
      <c r="M40" s="33"/>
      <c r="N40" s="33"/>
    </row>
    <row r="41" spans="1:14" ht="28.8" x14ac:dyDescent="0.3">
      <c r="A41" s="241"/>
      <c r="B41" s="6" t="s">
        <v>133</v>
      </c>
      <c r="C41" s="243" t="s">
        <v>173</v>
      </c>
      <c r="D41" s="6"/>
      <c r="E41" s="6"/>
      <c r="F41" s="31"/>
      <c r="G41" s="33"/>
      <c r="H41" s="33"/>
      <c r="I41" s="33"/>
      <c r="J41" s="33"/>
      <c r="K41" s="33"/>
      <c r="L41" s="34"/>
      <c r="M41" s="33"/>
      <c r="N41" s="33"/>
    </row>
    <row r="42" spans="1:14" x14ac:dyDescent="0.3">
      <c r="A42" s="241"/>
      <c r="B42" s="7" t="s">
        <v>3</v>
      </c>
      <c r="C42" s="243"/>
      <c r="D42" s="6" t="s">
        <v>134</v>
      </c>
      <c r="E42" s="6" t="s">
        <v>135</v>
      </c>
      <c r="F42" s="31"/>
      <c r="G42" s="33"/>
      <c r="H42" s="33"/>
      <c r="I42" s="33">
        <f>'Info Pauvreté'!B23</f>
        <v>0</v>
      </c>
      <c r="J42" s="33"/>
      <c r="K42" s="33"/>
      <c r="L42" s="34" t="e">
        <f>F42/I42</f>
        <v>#DIV/0!</v>
      </c>
      <c r="M42" s="33"/>
      <c r="N42" s="33"/>
    </row>
    <row r="43" spans="1:14" x14ac:dyDescent="0.3">
      <c r="A43" s="241"/>
      <c r="B43" s="7" t="s">
        <v>4</v>
      </c>
      <c r="C43" s="243"/>
      <c r="D43" s="6" t="s">
        <v>136</v>
      </c>
      <c r="E43" s="6" t="s">
        <v>137</v>
      </c>
      <c r="F43" s="31"/>
      <c r="G43" s="33"/>
      <c r="H43" s="33"/>
      <c r="I43" s="33">
        <f>'Info Pauvreté'!B22</f>
        <v>0</v>
      </c>
      <c r="J43" s="33"/>
      <c r="K43" s="33"/>
      <c r="L43" s="34" t="e">
        <f t="shared" ref="L43:L50" si="5">F43/I43</f>
        <v>#DIV/0!</v>
      </c>
      <c r="M43" s="33"/>
      <c r="N43" s="33"/>
    </row>
    <row r="44" spans="1:14" x14ac:dyDescent="0.3">
      <c r="A44" s="241"/>
      <c r="B44" s="7" t="s">
        <v>16</v>
      </c>
      <c r="C44" s="243"/>
      <c r="D44" s="6" t="s">
        <v>138</v>
      </c>
      <c r="E44" s="6" t="s">
        <v>139</v>
      </c>
      <c r="F44" s="31"/>
      <c r="G44" s="33"/>
      <c r="H44" s="33"/>
      <c r="I44" s="33">
        <f>'Info Pauvreté'!B21</f>
        <v>0</v>
      </c>
      <c r="J44" s="33"/>
      <c r="K44" s="33"/>
      <c r="L44" s="34" t="e">
        <f t="shared" si="5"/>
        <v>#DIV/0!</v>
      </c>
      <c r="M44" s="33"/>
      <c r="N44" s="33"/>
    </row>
    <row r="45" spans="1:14" ht="28.8" x14ac:dyDescent="0.3">
      <c r="A45" s="241"/>
      <c r="B45" s="7" t="s">
        <v>140</v>
      </c>
      <c r="C45" s="243"/>
      <c r="D45" s="6" t="s">
        <v>141</v>
      </c>
      <c r="E45" s="6" t="s">
        <v>137</v>
      </c>
      <c r="F45" s="31"/>
      <c r="G45" s="33"/>
      <c r="H45" s="33"/>
      <c r="I45" s="33">
        <f>'Info Pauvreté'!B22</f>
        <v>0</v>
      </c>
      <c r="J45" s="33"/>
      <c r="K45" s="33"/>
      <c r="L45" s="34" t="e">
        <f t="shared" si="5"/>
        <v>#DIV/0!</v>
      </c>
      <c r="M45" s="33"/>
      <c r="N45" s="33"/>
    </row>
    <row r="46" spans="1:14" ht="28.8" x14ac:dyDescent="0.3">
      <c r="A46" s="241"/>
      <c r="B46" s="6" t="s">
        <v>142</v>
      </c>
      <c r="C46" s="243" t="s">
        <v>143</v>
      </c>
      <c r="D46" s="6"/>
      <c r="E46" s="6"/>
      <c r="F46" s="31"/>
      <c r="G46" s="33"/>
      <c r="H46" s="33"/>
      <c r="I46" s="33"/>
      <c r="J46" s="33"/>
      <c r="K46" s="33"/>
      <c r="L46" s="34"/>
      <c r="M46" s="33"/>
      <c r="N46" s="33"/>
    </row>
    <row r="47" spans="1:14" x14ac:dyDescent="0.3">
      <c r="A47" s="241"/>
      <c r="B47" s="7" t="s">
        <v>3</v>
      </c>
      <c r="C47" s="243"/>
      <c r="D47" s="6" t="s">
        <v>134</v>
      </c>
      <c r="E47" s="6" t="s">
        <v>144</v>
      </c>
      <c r="F47" s="31"/>
      <c r="G47" s="33"/>
      <c r="H47" s="33"/>
      <c r="I47" s="33">
        <f>'Info Pauvreté'!B20</f>
        <v>0</v>
      </c>
      <c r="J47" s="33"/>
      <c r="K47" s="33"/>
      <c r="L47" s="34" t="e">
        <f t="shared" si="5"/>
        <v>#DIV/0!</v>
      </c>
      <c r="M47" s="33"/>
      <c r="N47" s="33"/>
    </row>
    <row r="48" spans="1:14" x14ac:dyDescent="0.3">
      <c r="A48" s="241"/>
      <c r="B48" s="7" t="s">
        <v>4</v>
      </c>
      <c r="C48" s="243"/>
      <c r="D48" s="6" t="s">
        <v>136</v>
      </c>
      <c r="E48" s="6" t="s">
        <v>145</v>
      </c>
      <c r="F48" s="31"/>
      <c r="G48" s="33"/>
      <c r="H48" s="33"/>
      <c r="I48" s="33">
        <f>'Info Pauvreté'!B19</f>
        <v>0</v>
      </c>
      <c r="J48" s="33"/>
      <c r="K48" s="33"/>
      <c r="L48" s="34" t="e">
        <f t="shared" si="5"/>
        <v>#DIV/0!</v>
      </c>
      <c r="M48" s="33"/>
      <c r="N48" s="33"/>
    </row>
    <row r="49" spans="1:14" x14ac:dyDescent="0.3">
      <c r="A49" s="241"/>
      <c r="B49" s="7" t="s">
        <v>16</v>
      </c>
      <c r="C49" s="243"/>
      <c r="D49" s="6" t="s">
        <v>138</v>
      </c>
      <c r="E49" s="6" t="s">
        <v>146</v>
      </c>
      <c r="F49" s="31"/>
      <c r="G49" s="33"/>
      <c r="H49" s="33"/>
      <c r="I49" s="33">
        <f>'Info Pauvreté'!B18</f>
        <v>0</v>
      </c>
      <c r="J49" s="33"/>
      <c r="K49" s="33"/>
      <c r="L49" s="34" t="e">
        <f t="shared" si="5"/>
        <v>#DIV/0!</v>
      </c>
      <c r="M49" s="33"/>
      <c r="N49" s="33"/>
    </row>
    <row r="50" spans="1:14" ht="28.8" x14ac:dyDescent="0.3">
      <c r="A50" s="241"/>
      <c r="B50" s="7" t="s">
        <v>140</v>
      </c>
      <c r="C50" s="243"/>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2026-09-02T07:30:01Z</dcterms:modified>
</cp:coreProperties>
</file>