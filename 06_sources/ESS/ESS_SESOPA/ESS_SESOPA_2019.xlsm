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0" documentId="8_{78C72256-75FE-4622-B39A-60452F8299DA}" xr6:coauthVersionLast="47" xr6:coauthVersionMax="47" xr10:uidLastSave="{00000000-0000-0000-0000-000000000000}"/>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<sst xmlns="http://schemas.openxmlformats.org/spreadsheetml/2006/main" count="3465" uniqueCount="613">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</sst>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59" fillId="3" borderId="0" xfId="0" applyFont="1" applyFill="1" applyAlignment="1">
      <alignment horizontal="left" vertical="top"/>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B3" sqref="B3"/>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2" t="s">
        <v>516</v>
      </c>
      <c r="F1" s="222"/>
      <c r="G1" s="222"/>
      <c r="H1" s="222"/>
      <c r="I1" s="222"/>
      <c r="J1" s="222"/>
      <c r="K1" s="222"/>
      <c r="L1" s="222"/>
      <c r="M1" s="222"/>
      <c r="N1" s="222"/>
      <c r="O1" s="222"/>
      <c r="P1" s="222"/>
      <c r="Q1" s="222"/>
      <c r="R1" s="222"/>
      <c r="S1" s="222"/>
      <c r="T1" s="222"/>
      <c r="U1" s="222"/>
      <c r="V1" s="222"/>
      <c r="W1" s="221" t="s">
        <v>612</v>
      </c>
      <c r="X1" s="66"/>
      <c r="Y1" s="66"/>
      <c r="Z1" s="66"/>
      <c r="AA1" s="66"/>
      <c r="AB1" s="66"/>
      <c r="AC1" s="59"/>
      <c r="AD1" s="59"/>
      <c r="AE1" s="59"/>
      <c r="AF1" s="80"/>
      <c r="AG1" s="59"/>
      <c r="AH1" s="59"/>
      <c r="AI1" s="59"/>
      <c r="AJ1" s="59"/>
    </row>
    <row r="2" spans="1:37" x14ac:dyDescent="0.3">
      <c r="A2" s="76" t="s">
        <v>214</v>
      </c>
      <c r="B2" s="151">
        <v>2019</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3" t="s">
        <v>218</v>
      </c>
      <c r="F4" s="223" t="s">
        <v>219</v>
      </c>
      <c r="G4" s="223" t="s">
        <v>220</v>
      </c>
      <c r="H4" s="223" t="s">
        <v>221</v>
      </c>
      <c r="I4" s="223" t="s">
        <v>222</v>
      </c>
      <c r="J4" s="223" t="s">
        <v>223</v>
      </c>
      <c r="K4" s="223" t="s">
        <v>224</v>
      </c>
      <c r="L4" s="223" t="s">
        <v>225</v>
      </c>
      <c r="M4" s="223" t="s">
        <v>226</v>
      </c>
      <c r="N4" s="223" t="s">
        <v>227</v>
      </c>
      <c r="O4" s="223" t="s">
        <v>228</v>
      </c>
      <c r="P4" s="223" t="s">
        <v>229</v>
      </c>
      <c r="Q4" s="223" t="s">
        <v>230</v>
      </c>
      <c r="R4" s="223" t="s">
        <v>231</v>
      </c>
      <c r="S4" s="223" t="s">
        <v>232</v>
      </c>
      <c r="T4" s="223" t="s">
        <v>233</v>
      </c>
      <c r="U4" s="223" t="s">
        <v>234</v>
      </c>
      <c r="V4" s="141" t="s">
        <v>235</v>
      </c>
      <c r="W4" s="142" t="s">
        <v>236</v>
      </c>
      <c r="X4" s="225" t="s">
        <v>237</v>
      </c>
      <c r="Y4" s="226"/>
      <c r="Z4" s="227"/>
      <c r="AA4" s="228" t="s">
        <v>327</v>
      </c>
      <c r="AB4" s="229"/>
      <c r="AC4" s="230"/>
      <c r="AD4" s="142" t="s">
        <v>238</v>
      </c>
      <c r="AE4" s="142" t="s">
        <v>239</v>
      </c>
      <c r="AF4" s="142" t="s">
        <v>240</v>
      </c>
      <c r="AG4" s="141" t="s">
        <v>241</v>
      </c>
      <c r="AH4" s="141" t="s">
        <v>242</v>
      </c>
      <c r="AI4" s="141" t="s">
        <v>243</v>
      </c>
      <c r="AJ4" s="140" t="s">
        <v>244</v>
      </c>
    </row>
    <row r="5" spans="1:37" ht="12.75" customHeight="1" x14ac:dyDescent="0.3">
      <c r="A5" s="143"/>
      <c r="B5" s="144"/>
      <c r="C5" s="145"/>
      <c r="D5" s="146"/>
      <c r="E5" s="224"/>
      <c r="F5" s="224"/>
      <c r="G5" s="224"/>
      <c r="H5" s="224"/>
      <c r="I5" s="224"/>
      <c r="J5" s="224"/>
      <c r="K5" s="224"/>
      <c r="L5" s="224"/>
      <c r="M5" s="224"/>
      <c r="N5" s="224"/>
      <c r="O5" s="224"/>
      <c r="P5" s="224"/>
      <c r="Q5" s="224"/>
      <c r="R5" s="224"/>
      <c r="S5" s="224"/>
      <c r="T5" s="224"/>
      <c r="U5" s="224"/>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2019</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4" t="s">
        <v>370</v>
      </c>
      <c r="B4" s="234"/>
      <c r="C4" s="234"/>
      <c r="D4" s="234"/>
      <c r="E4" s="234"/>
      <c r="F4" s="234"/>
      <c r="G4" s="234"/>
    </row>
    <row r="5" spans="1:7" ht="15" customHeight="1" x14ac:dyDescent="0.3">
      <c r="A5" s="125"/>
      <c r="B5" s="235" t="s">
        <v>376</v>
      </c>
      <c r="C5" s="236"/>
      <c r="D5" s="235" t="s">
        <v>377</v>
      </c>
      <c r="E5" s="236"/>
      <c r="F5" s="235" t="s">
        <v>378</v>
      </c>
      <c r="G5" s="23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7"/>
      <c r="C28" s="237"/>
      <c r="D28" s="88" t="s">
        <v>17</v>
      </c>
      <c r="E28" s="237"/>
      <c r="F28" s="23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8" t="s">
        <v>163</v>
      </c>
      <c r="G1" s="238"/>
      <c r="H1" s="238"/>
      <c r="I1" s="239" t="s">
        <v>164</v>
      </c>
      <c r="J1" s="239"/>
      <c r="K1" s="239"/>
      <c r="L1" s="240" t="s">
        <v>148</v>
      </c>
      <c r="M1" s="240"/>
      <c r="N1" s="24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4" t="s">
        <v>161</v>
      </c>
      <c r="G3" s="244"/>
      <c r="H3" s="244"/>
      <c r="I3" s="42">
        <f>'ADDITIONAL statistics for SDGs'!B9</f>
        <v>0</v>
      </c>
      <c r="J3" s="43" t="s">
        <v>18</v>
      </c>
      <c r="K3" s="43" t="s">
        <v>18</v>
      </c>
      <c r="L3" s="44" t="e">
        <f>20294/I3</f>
        <v>#DIV/0!</v>
      </c>
      <c r="M3" s="43" t="s">
        <v>18</v>
      </c>
      <c r="N3" s="43" t="s">
        <v>18</v>
      </c>
    </row>
    <row r="4" spans="1:14" ht="43.2" x14ac:dyDescent="0.3">
      <c r="A4" s="24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1" t="s">
        <v>118</v>
      </c>
      <c r="B30" s="6" t="s">
        <v>119</v>
      </c>
      <c r="C30" s="243" t="s">
        <v>120</v>
      </c>
      <c r="D30" s="6"/>
      <c r="E30" s="6"/>
      <c r="F30" s="31"/>
      <c r="G30" s="33"/>
      <c r="H30" s="33"/>
      <c r="I30" s="31"/>
      <c r="J30" s="31"/>
      <c r="K30" s="31"/>
      <c r="L30" s="34"/>
      <c r="M30" s="34"/>
      <c r="N30" s="34"/>
    </row>
    <row r="31" spans="1:14" x14ac:dyDescent="0.3">
      <c r="A31" s="241"/>
      <c r="B31" s="7" t="s">
        <v>3</v>
      </c>
      <c r="C31" s="243"/>
      <c r="D31" s="6" t="s">
        <v>121</v>
      </c>
      <c r="E31" s="6" t="s">
        <v>122</v>
      </c>
      <c r="F31" s="31"/>
      <c r="G31" s="31"/>
      <c r="H31" s="31"/>
      <c r="I31" s="31">
        <f>'ADDITIONAL statistics for SDGs'!$B$31</f>
        <v>0</v>
      </c>
      <c r="J31" s="31"/>
      <c r="K31" s="31"/>
      <c r="L31" s="34" t="e">
        <f t="shared" ref="L31:L39" si="4">F31/I31</f>
        <v>#DIV/0!</v>
      </c>
      <c r="M31" s="31"/>
      <c r="N31" s="31"/>
    </row>
    <row r="32" spans="1:14" x14ac:dyDescent="0.3">
      <c r="A32" s="241"/>
      <c r="B32" s="7" t="s">
        <v>4</v>
      </c>
      <c r="C32" s="243"/>
      <c r="D32" s="6" t="s">
        <v>123</v>
      </c>
      <c r="E32" s="6" t="s">
        <v>122</v>
      </c>
      <c r="F32" s="31"/>
      <c r="G32" s="31"/>
      <c r="H32" s="31"/>
      <c r="I32" s="31">
        <f>'ADDITIONAL statistics for SDGs'!$B$31</f>
        <v>0</v>
      </c>
      <c r="J32" s="31"/>
      <c r="K32" s="31"/>
      <c r="L32" s="34" t="e">
        <f t="shared" si="4"/>
        <v>#DIV/0!</v>
      </c>
      <c r="M32" s="31"/>
      <c r="N32" s="31"/>
    </row>
    <row r="33" spans="1:14" x14ac:dyDescent="0.3">
      <c r="A33" s="241"/>
      <c r="B33" s="7" t="s">
        <v>11</v>
      </c>
      <c r="C33" s="243"/>
      <c r="D33" s="6" t="s">
        <v>124</v>
      </c>
      <c r="E33" s="6" t="s">
        <v>122</v>
      </c>
      <c r="F33" s="31"/>
      <c r="G33" s="31"/>
      <c r="H33" s="31"/>
      <c r="I33" s="31">
        <f>'ADDITIONAL statistics for SDGs'!$B$31</f>
        <v>0</v>
      </c>
      <c r="J33" s="31"/>
      <c r="K33" s="31"/>
      <c r="L33" s="34" t="e">
        <f t="shared" si="4"/>
        <v>#DIV/0!</v>
      </c>
      <c r="M33" s="31"/>
      <c r="N33" s="31"/>
    </row>
    <row r="34" spans="1:14" x14ac:dyDescent="0.3">
      <c r="A34" s="241"/>
      <c r="B34" s="7" t="s">
        <v>5</v>
      </c>
      <c r="C34" s="243"/>
      <c r="D34" s="6" t="s">
        <v>125</v>
      </c>
      <c r="E34" s="6" t="s">
        <v>122</v>
      </c>
      <c r="F34" s="31"/>
      <c r="G34" s="31"/>
      <c r="H34" s="31"/>
      <c r="I34" s="31">
        <f>'ADDITIONAL statistics for SDGs'!$B$31</f>
        <v>0</v>
      </c>
      <c r="J34" s="31"/>
      <c r="K34" s="31"/>
      <c r="L34" s="34" t="e">
        <f t="shared" si="4"/>
        <v>#DIV/0!</v>
      </c>
      <c r="M34" s="31"/>
      <c r="N34" s="31"/>
    </row>
    <row r="35" spans="1:14" ht="28.8" x14ac:dyDescent="0.3">
      <c r="A35" s="241"/>
      <c r="B35" s="6" t="s">
        <v>126</v>
      </c>
      <c r="C35" s="245" t="s">
        <v>127</v>
      </c>
      <c r="D35" s="6"/>
      <c r="E35" s="6"/>
      <c r="F35" s="31"/>
      <c r="G35" s="31"/>
      <c r="H35" s="31"/>
      <c r="I35" s="31"/>
      <c r="J35" s="31"/>
      <c r="K35" s="31"/>
      <c r="L35" s="34"/>
      <c r="M35" s="31"/>
      <c r="N35" s="31"/>
    </row>
    <row r="36" spans="1:14" x14ac:dyDescent="0.3">
      <c r="A36" s="241"/>
      <c r="B36" s="7" t="s">
        <v>3</v>
      </c>
      <c r="C36" s="246"/>
      <c r="D36" s="6" t="s">
        <v>128</v>
      </c>
      <c r="E36" s="6" t="s">
        <v>129</v>
      </c>
      <c r="F36" s="31"/>
      <c r="G36" s="33"/>
      <c r="H36" s="33"/>
      <c r="I36" s="33">
        <f>'ADDITIONAL statistics for SDGs'!$B$30</f>
        <v>0</v>
      </c>
      <c r="J36" s="33"/>
      <c r="K36" s="33"/>
      <c r="L36" s="34" t="e">
        <f t="shared" si="4"/>
        <v>#DIV/0!</v>
      </c>
      <c r="M36" s="33"/>
      <c r="N36" s="33"/>
    </row>
    <row r="37" spans="1:14" x14ac:dyDescent="0.3">
      <c r="A37" s="241"/>
      <c r="B37" s="7" t="s">
        <v>4</v>
      </c>
      <c r="C37" s="246"/>
      <c r="D37" s="6" t="s">
        <v>130</v>
      </c>
      <c r="E37" s="6" t="s">
        <v>129</v>
      </c>
      <c r="F37" s="31"/>
      <c r="G37" s="33"/>
      <c r="H37" s="33"/>
      <c r="I37" s="33">
        <f>'ADDITIONAL statistics for SDGs'!B30</f>
        <v>0</v>
      </c>
      <c r="J37" s="33"/>
      <c r="K37" s="33"/>
      <c r="L37" s="34" t="e">
        <f t="shared" si="4"/>
        <v>#DIV/0!</v>
      </c>
      <c r="M37" s="33"/>
      <c r="N37" s="33"/>
    </row>
    <row r="38" spans="1:14" x14ac:dyDescent="0.3">
      <c r="A38" s="241"/>
      <c r="B38" s="7" t="s">
        <v>11</v>
      </c>
      <c r="C38" s="246"/>
      <c r="D38" s="6" t="s">
        <v>131</v>
      </c>
      <c r="E38" s="6" t="s">
        <v>129</v>
      </c>
      <c r="F38" s="31"/>
      <c r="G38" s="33"/>
      <c r="H38" s="33"/>
      <c r="I38" s="33">
        <f>'ADDITIONAL statistics for SDGs'!B30</f>
        <v>0</v>
      </c>
      <c r="J38" s="33"/>
      <c r="K38" s="33"/>
      <c r="L38" s="34" t="e">
        <f t="shared" si="4"/>
        <v>#DIV/0!</v>
      </c>
      <c r="M38" s="33"/>
      <c r="N38" s="33"/>
    </row>
    <row r="39" spans="1:14" x14ac:dyDescent="0.3">
      <c r="A39" s="241"/>
      <c r="B39" s="7" t="s">
        <v>5</v>
      </c>
      <c r="C39" s="246"/>
      <c r="D39" s="6" t="s">
        <v>132</v>
      </c>
      <c r="E39" s="6" t="s">
        <v>129</v>
      </c>
      <c r="F39" s="31"/>
      <c r="G39" s="33"/>
      <c r="H39" s="33"/>
      <c r="I39" s="33">
        <f>'ADDITIONAL statistics for SDGs'!B30</f>
        <v>0</v>
      </c>
      <c r="J39" s="33"/>
      <c r="K39" s="33"/>
      <c r="L39" s="34" t="e">
        <f t="shared" si="4"/>
        <v>#DIV/0!</v>
      </c>
      <c r="M39" s="33"/>
      <c r="N39" s="33"/>
    </row>
    <row r="40" spans="1:14" x14ac:dyDescent="0.3">
      <c r="A40" s="241"/>
      <c r="C40" s="247"/>
      <c r="D40" s="6"/>
      <c r="E40" s="6"/>
      <c r="F40" s="31"/>
      <c r="G40" s="33"/>
      <c r="H40" s="33"/>
      <c r="I40" s="33"/>
      <c r="J40" s="33"/>
      <c r="K40" s="33"/>
      <c r="L40" s="34"/>
      <c r="M40" s="33"/>
      <c r="N40" s="33"/>
    </row>
    <row r="41" spans="1:14" ht="28.8" x14ac:dyDescent="0.3">
      <c r="A41" s="241"/>
      <c r="B41" s="6" t="s">
        <v>133</v>
      </c>
      <c r="C41" s="243" t="s">
        <v>173</v>
      </c>
      <c r="D41" s="6"/>
      <c r="E41" s="6"/>
      <c r="F41" s="31"/>
      <c r="G41" s="33"/>
      <c r="H41" s="33"/>
      <c r="I41" s="33"/>
      <c r="J41" s="33"/>
      <c r="K41" s="33"/>
      <c r="L41" s="34"/>
      <c r="M41" s="33"/>
      <c r="N41" s="33"/>
    </row>
    <row r="42" spans="1:14" x14ac:dyDescent="0.3">
      <c r="A42" s="241"/>
      <c r="B42" s="7" t="s">
        <v>3</v>
      </c>
      <c r="C42" s="243"/>
      <c r="D42" s="6" t="s">
        <v>134</v>
      </c>
      <c r="E42" s="6" t="s">
        <v>135</v>
      </c>
      <c r="F42" s="31"/>
      <c r="G42" s="33"/>
      <c r="H42" s="33"/>
      <c r="I42" s="33">
        <f>'Info Pauvreté'!B23</f>
        <v>0</v>
      </c>
      <c r="J42" s="33"/>
      <c r="K42" s="33"/>
      <c r="L42" s="34" t="e">
        <f>F42/I42</f>
        <v>#DIV/0!</v>
      </c>
      <c r="M42" s="33"/>
      <c r="N42" s="33"/>
    </row>
    <row r="43" spans="1:14" x14ac:dyDescent="0.3">
      <c r="A43" s="241"/>
      <c r="B43" s="7" t="s">
        <v>4</v>
      </c>
      <c r="C43" s="243"/>
      <c r="D43" s="6" t="s">
        <v>136</v>
      </c>
      <c r="E43" s="6" t="s">
        <v>137</v>
      </c>
      <c r="F43" s="31"/>
      <c r="G43" s="33"/>
      <c r="H43" s="33"/>
      <c r="I43" s="33">
        <f>'Info Pauvreté'!B22</f>
        <v>0</v>
      </c>
      <c r="J43" s="33"/>
      <c r="K43" s="33"/>
      <c r="L43" s="34" t="e">
        <f t="shared" ref="L43:L50" si="5">F43/I43</f>
        <v>#DIV/0!</v>
      </c>
      <c r="M43" s="33"/>
      <c r="N43" s="33"/>
    </row>
    <row r="44" spans="1:14" x14ac:dyDescent="0.3">
      <c r="A44" s="241"/>
      <c r="B44" s="7" t="s">
        <v>16</v>
      </c>
      <c r="C44" s="243"/>
      <c r="D44" s="6" t="s">
        <v>138</v>
      </c>
      <c r="E44" s="6" t="s">
        <v>139</v>
      </c>
      <c r="F44" s="31"/>
      <c r="G44" s="33"/>
      <c r="H44" s="33"/>
      <c r="I44" s="33">
        <f>'Info Pauvreté'!B21</f>
        <v>0</v>
      </c>
      <c r="J44" s="33"/>
      <c r="K44" s="33"/>
      <c r="L44" s="34" t="e">
        <f t="shared" si="5"/>
        <v>#DIV/0!</v>
      </c>
      <c r="M44" s="33"/>
      <c r="N44" s="33"/>
    </row>
    <row r="45" spans="1:14" ht="28.8" x14ac:dyDescent="0.3">
      <c r="A45" s="241"/>
      <c r="B45" s="7" t="s">
        <v>140</v>
      </c>
      <c r="C45" s="243"/>
      <c r="D45" s="6" t="s">
        <v>141</v>
      </c>
      <c r="E45" s="6" t="s">
        <v>137</v>
      </c>
      <c r="F45" s="31"/>
      <c r="G45" s="33"/>
      <c r="H45" s="33"/>
      <c r="I45" s="33">
        <f>'Info Pauvreté'!B22</f>
        <v>0</v>
      </c>
      <c r="J45" s="33"/>
      <c r="K45" s="33"/>
      <c r="L45" s="34" t="e">
        <f t="shared" si="5"/>
        <v>#DIV/0!</v>
      </c>
      <c r="M45" s="33"/>
      <c r="N45" s="33"/>
    </row>
    <row r="46" spans="1:14" ht="28.8" x14ac:dyDescent="0.3">
      <c r="A46" s="241"/>
      <c r="B46" s="6" t="s">
        <v>142</v>
      </c>
      <c r="C46" s="243" t="s">
        <v>143</v>
      </c>
      <c r="D46" s="6"/>
      <c r="E46" s="6"/>
      <c r="F46" s="31"/>
      <c r="G46" s="33"/>
      <c r="H46" s="33"/>
      <c r="I46" s="33"/>
      <c r="J46" s="33"/>
      <c r="K46" s="33"/>
      <c r="L46" s="34"/>
      <c r="M46" s="33"/>
      <c r="N46" s="33"/>
    </row>
    <row r="47" spans="1:14" x14ac:dyDescent="0.3">
      <c r="A47" s="241"/>
      <c r="B47" s="7" t="s">
        <v>3</v>
      </c>
      <c r="C47" s="243"/>
      <c r="D47" s="6" t="s">
        <v>134</v>
      </c>
      <c r="E47" s="6" t="s">
        <v>144</v>
      </c>
      <c r="F47" s="31"/>
      <c r="G47" s="33"/>
      <c r="H47" s="33"/>
      <c r="I47" s="33">
        <f>'Info Pauvreté'!B20</f>
        <v>0</v>
      </c>
      <c r="J47" s="33"/>
      <c r="K47" s="33"/>
      <c r="L47" s="34" t="e">
        <f t="shared" si="5"/>
        <v>#DIV/0!</v>
      </c>
      <c r="M47" s="33"/>
      <c r="N47" s="33"/>
    </row>
    <row r="48" spans="1:14" x14ac:dyDescent="0.3">
      <c r="A48" s="241"/>
      <c r="B48" s="7" t="s">
        <v>4</v>
      </c>
      <c r="C48" s="243"/>
      <c r="D48" s="6" t="s">
        <v>136</v>
      </c>
      <c r="E48" s="6" t="s">
        <v>145</v>
      </c>
      <c r="F48" s="31"/>
      <c r="G48" s="33"/>
      <c r="H48" s="33"/>
      <c r="I48" s="33">
        <f>'Info Pauvreté'!B19</f>
        <v>0</v>
      </c>
      <c r="J48" s="33"/>
      <c r="K48" s="33"/>
      <c r="L48" s="34" t="e">
        <f t="shared" si="5"/>
        <v>#DIV/0!</v>
      </c>
      <c r="M48" s="33"/>
      <c r="N48" s="33"/>
    </row>
    <row r="49" spans="1:14" x14ac:dyDescent="0.3">
      <c r="A49" s="241"/>
      <c r="B49" s="7" t="s">
        <v>16</v>
      </c>
      <c r="C49" s="243"/>
      <c r="D49" s="6" t="s">
        <v>138</v>
      </c>
      <c r="E49" s="6" t="s">
        <v>146</v>
      </c>
      <c r="F49" s="31"/>
      <c r="G49" s="33"/>
      <c r="H49" s="33"/>
      <c r="I49" s="33">
        <f>'Info Pauvreté'!B18</f>
        <v>0</v>
      </c>
      <c r="J49" s="33"/>
      <c r="K49" s="33"/>
      <c r="L49" s="34" t="e">
        <f t="shared" si="5"/>
        <v>#DIV/0!</v>
      </c>
      <c r="M49" s="33"/>
      <c r="N49" s="33"/>
    </row>
    <row r="50" spans="1:14" ht="28.8" x14ac:dyDescent="0.3">
      <c r="A50" s="241"/>
      <c r="B50" s="7" t="s">
        <v>140</v>
      </c>
      <c r="C50" s="24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2026-09-02T07:30:58Z</dcterms:modified>
</cp:coreProperties>
</file>