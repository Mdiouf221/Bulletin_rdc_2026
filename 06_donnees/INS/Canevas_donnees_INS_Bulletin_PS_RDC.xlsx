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13" documentId="8_{8A3342F5-F2D1-485A-A4AD-16CE57F5A976}" xr6:coauthVersionLast="47" xr6:coauthVersionMax="47" xr10:uidLastSave="{D972B901-6562-48C1-8AD7-D94AE9E609C4}"/>
  <bookViews>
    <workbookView xWindow="-28920" yWindow="-4620" windowWidth="29040" windowHeight="15720" activeTab="1" xr2:uid="{00000000-000D-0000-FFFF-FFFF00000000}"/>
  </bookViews>
  <sheets>
    <sheet name="Mode d'emploi" sheetId="2" r:id="rId1"/>
    <sheet name="Canevas de saisie"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 l="1"/>
  <c r="E46" i="1" s="1"/>
  <c r="E45" i="1"/>
  <c r="E44" i="1"/>
</calcChain>
</file>

<file path=xl/sharedStrings.xml><?xml version="1.0" encoding="utf-8"?>
<sst xmlns="http://schemas.openxmlformats.org/spreadsheetml/2006/main" count="313" uniqueCount="190">
  <si>
    <t>CANEVAS DE COLLECTE DE DONNÉES — INS RDC
Deuxième Bulletin statistique sur la protection sociale en RDC</t>
  </si>
  <si>
    <t>Les cellules en jaune sont à remplir par l'INS.  Merci d'indiquer la source et l'année de référence pour chaque valeur saisie.  Années souhaitées : 2019–2024.</t>
  </si>
  <si>
    <t>A — Dénominateurs pour le calcul des indicateurs ODD 1.3.1   [PRIORITÉ CRITIQUE]</t>
  </si>
  <si>
    <t>#</t>
  </si>
  <si>
    <t>Donnée demandée</t>
  </si>
  <si>
    <t>Usage dans le bulletin</t>
  </si>
  <si>
    <t>Désagrégation</t>
  </si>
  <si>
    <t>Source / enquête</t>
  </si>
  <si>
    <t>Commentaires INS</t>
  </si>
  <si>
    <t>A1</t>
  </si>
  <si>
    <t>Population totale</t>
  </si>
  <si>
    <t>Dénominateur indicateur global ODD 1.3.1</t>
  </si>
  <si>
    <t>Par sexe</t>
  </si>
  <si>
    <t/>
  </si>
  <si>
    <t>A2</t>
  </si>
  <si>
    <t>Population 0–14 ans</t>
  </si>
  <si>
    <t>Dénominateur sous-indicateur enfants (ODD 1.3.1)</t>
  </si>
  <si>
    <t>A3</t>
  </si>
  <si>
    <t>Population 0–17 ans</t>
  </si>
  <si>
    <t>Variante dénominateur enfants selon définition OIT retenue</t>
  </si>
  <si>
    <t>A4</t>
  </si>
  <si>
    <t>Nombre de naissances vivantes</t>
  </si>
  <si>
    <t>Dénominateur sous-indicateur maternité (ODD 1.3.1)</t>
  </si>
  <si>
    <t>—</t>
  </si>
  <si>
    <t>A5</t>
  </si>
  <si>
    <t>Population 60 ans et plus</t>
  </si>
  <si>
    <t>Dénominateur vieillesse — âge légal CNSSAP (60 ans)</t>
  </si>
  <si>
    <t>A5b</t>
  </si>
  <si>
    <t>Population 65 ans et plus</t>
  </si>
  <si>
    <t>Dénominateur vieillesse — âge légal CNSS hommes (65 ans)</t>
  </si>
  <si>
    <t>A6</t>
  </si>
  <si>
    <t>Population active (15 ans et plus)</t>
  </si>
  <si>
    <t>Dénominateur sous-indicateurs AT/MP et cotisants retraite</t>
  </si>
  <si>
    <t>A7</t>
  </si>
  <si>
    <t>Nombre de chômeurs (définition BIT)</t>
  </si>
  <si>
    <t>Dénominateur sous-indicateur chômage — attendu à 0 % (pas de régime d'assurance chômage)</t>
  </si>
  <si>
    <t>A8</t>
  </si>
  <si>
    <t>Population en situation de handicap grave</t>
  </si>
  <si>
    <t>Dénominateur sous-indicateur invalidité (ODD 1.3.1)</t>
  </si>
  <si>
    <t>B — Seuils de référence pour l'adéquation des prestations   [PRIORITÉ CRITIQUE]</t>
  </si>
  <si>
    <t>B1</t>
  </si>
  <si>
    <t>Seuil national de pauvreté (CDF/personne/mois)</t>
  </si>
  <si>
    <t>Adéquation des pensions et allocations — comparé aux montants unitaires CNSS/CNSSAP</t>
  </si>
  <si>
    <t>B2</t>
  </si>
  <si>
    <t>SMIG — Salaire minimum (CDF/mois)</t>
  </si>
  <si>
    <t>Ratio pension moyenne / SMIG — adéquation des pensions de retraite</t>
  </si>
  <si>
    <t>B3</t>
  </si>
  <si>
    <t>Indice des prix à la consommation (IPC)</t>
  </si>
  <si>
    <t>Déflateur pour exprimer les prestations en termes réels</t>
  </si>
  <si>
    <t>C — Structure du marché du travail   [PRIORITÉ IMPORTANTE]</t>
  </si>
  <si>
    <t>C1</t>
  </si>
  <si>
    <t>Taux d'emploi informel (%)</t>
  </si>
  <si>
    <t>Confirmer / nuancer la valeur OIT utilisée (~96 % selon ILOEST 2020)</t>
  </si>
  <si>
    <t>C2</t>
  </si>
  <si>
    <t>Structure emploi par secteur (agri / indus / services)</t>
  </si>
  <si>
    <t>Figure contexte économique — part de chaque secteur en % de l'emploi total</t>
  </si>
  <si>
    <t>C3</t>
  </si>
  <si>
    <t>Effectif des agents de la fonction publique</t>
  </si>
  <si>
    <t>Dénominateur légal CNSSAP — mesure du gap couverture légale / effective</t>
  </si>
  <si>
    <t>C4</t>
  </si>
  <si>
    <t>Nombre de salariés du secteur privé formel</t>
  </si>
  <si>
    <t>Dénominateur légal CNSS — estimation du taux de couverture</t>
  </si>
  <si>
    <t>D — Données démographiques   [PRIORITÉ COMPLÉMENTAIRE]</t>
  </si>
  <si>
    <t>D1</t>
  </si>
  <si>
    <t>Espérance de vie à la naissance</t>
  </si>
  <si>
    <t>Durée moyenne de perception des pensions après l'âge légal de la retraite</t>
  </si>
  <si>
    <t>D2</t>
  </si>
  <si>
    <t>Nombre moyen d'enfants par foyer</t>
  </si>
  <si>
    <t>Facteur de conversion foyers / enfants — paramètre clé pour les allocations familiales CNSS</t>
  </si>
  <si>
    <t>D3</t>
  </si>
  <si>
    <t>Taille moyenne des ménages</t>
  </si>
  <si>
    <t>Conversion entre effectifs ménages et individus couverts</t>
  </si>
  <si>
    <t>D4</t>
  </si>
  <si>
    <t>Pyramide des âges (population par tranche quinquennale)</t>
  </si>
  <si>
    <t>Figure de contexte démographique — calcul des dénominateurs par groupe d'âge</t>
  </si>
  <si>
    <t>E — Données économiques nationales   [PRIORITÉ COMPLÉMENTAIRE]</t>
  </si>
  <si>
    <t>E1</t>
  </si>
  <si>
    <t>PIB nominal en CDF courants</t>
  </si>
  <si>
    <t>Calcul du ratio dépenses de protection sociale / PIB</t>
  </si>
  <si>
    <t>E2</t>
  </si>
  <si>
    <t>Taux de pauvreté national (%)</t>
  </si>
  <si>
    <t>Contexte économique — confirmation directe de la valeur INS 2024 (69 %)</t>
  </si>
  <si>
    <t>E3</t>
  </si>
  <si>
    <t>Indice de Gini</t>
  </si>
  <si>
    <t>Contexte inégalités — confirmation valeur INS 2024 (0,381)</t>
  </si>
  <si>
    <t>MODE D'EMPLOI — Canevas de collecte de données INS</t>
  </si>
  <si>
    <t>Objet</t>
  </si>
  <si>
    <t>Ce fichier est un canevas de collecte préparé par l'équipe du Bulletin statistique sur la protection sociale en RDC (OIT / Gouvernement RDC). Il liste les données statistiques dont l'équipe a besoin pour calculer les indicateurs de couverture (ODD 1.3.1) et produire les sections de contexte du bulletin.</t>
  </si>
  <si>
    <t>Comment remplir</t>
  </si>
  <si>
    <t>Rendez-vous dans l'onglet « Canevas de saisie ». Les cellules en jaune sont à remplir. Pour chaque donnée, saisissez la valeur correspondant à chaque année disponible, indiquez la source (nom de l'enquête ou du document) et ajoutez un commentaire si nécessaire (notes méthodologiques, marges d'erreur, couverture géographique).</t>
  </si>
  <si>
    <t>Données manquantes</t>
  </si>
  <si>
    <t>Si une valeur n'est pas disponible pour une année donnée, laissez la cellule vide ou écrivez « N/D ». Si la donnée n'existe pas du tout, indiquez « non produit » dans la colonne Commentaires.</t>
  </si>
  <si>
    <t>Format des valeurs</t>
  </si>
  <si>
    <t>• Population : nombre entier (ex. 112 000 000)
• Taux / pourcentages : valeur décimale (ex. 0,96 ou 96 %)
• Montants en CDF : entier sans séparateur de milliers
• IPC : indice (base 100 = année de référence à préciser)
• Pyramide des âges : un onglet séparé peut être fourni</t>
  </si>
  <si>
    <t>Priorités</t>
  </si>
  <si>
    <t>🔴 Critique (A, B) : données indispensables au calcul des indicateurs ODD 1.3.1.
🟠 Importante (C) : améliorent la rigueur du bulletin.
🟡 Complémentaire (D, E) : enrichissent le contexte. À fournir si disponibles.</t>
  </si>
  <si>
    <t>Contact</t>
  </si>
  <si>
    <t>[À compléter — nom, email, téléphone de l'interlocuteur de l'équipe bulletin]</t>
  </si>
  <si>
    <t>Date de retour souhaitée</t>
  </si>
  <si>
    <t>[À compléter]</t>
  </si>
  <si>
    <r>
      <t>92 947 442</t>
    </r>
    <r>
      <rPr>
        <sz val="12"/>
        <color theme="1"/>
        <rFont val="Times New Roman"/>
        <family val="1"/>
      </rPr>
      <t xml:space="preserve"> </t>
    </r>
    <r>
      <rPr>
        <i/>
        <sz val="12"/>
        <color theme="1"/>
        <rFont val="Times New Roman"/>
        <family val="1"/>
      </rPr>
      <t>(H : 49,6 % ; F : 50,4 %)</t>
    </r>
  </si>
  <si>
    <r>
      <t>95 989 998</t>
    </r>
    <r>
      <rPr>
        <sz val="12"/>
        <color theme="1"/>
        <rFont val="Times New Roman"/>
        <family val="1"/>
      </rPr>
      <t xml:space="preserve"> </t>
    </r>
    <r>
      <rPr>
        <i/>
        <sz val="12"/>
        <color theme="1"/>
        <rFont val="Times New Roman"/>
        <family val="1"/>
      </rPr>
      <t>(H : 49,6 % ; F : 50,4 %)</t>
    </r>
  </si>
  <si>
    <r>
      <t>99 148 932</t>
    </r>
    <r>
      <rPr>
        <sz val="12"/>
        <color theme="1"/>
        <rFont val="Times New Roman"/>
        <family val="1"/>
      </rPr>
      <t xml:space="preserve"> </t>
    </r>
    <r>
      <rPr>
        <i/>
        <sz val="12"/>
        <color theme="1"/>
        <rFont val="Times New Roman"/>
        <family val="1"/>
      </rPr>
      <t>(H : 49,6 % ; F : 50,4 %)</t>
    </r>
  </si>
  <si>
    <r>
      <t>102 396 968</t>
    </r>
    <r>
      <rPr>
        <sz val="12"/>
        <color theme="1"/>
        <rFont val="Times New Roman"/>
        <family val="1"/>
      </rPr>
      <t xml:space="preserve"> </t>
    </r>
    <r>
      <rPr>
        <i/>
        <sz val="12"/>
        <color theme="1"/>
        <rFont val="Times New Roman"/>
        <family val="1"/>
      </rPr>
      <t>(H : 49,6 % ; F : 50,4 %)</t>
    </r>
  </si>
  <si>
    <r>
      <t>105 789 731</t>
    </r>
    <r>
      <rPr>
        <sz val="12"/>
        <color theme="1"/>
        <rFont val="Times New Roman"/>
        <family val="1"/>
      </rPr>
      <t xml:space="preserve"> </t>
    </r>
    <r>
      <rPr>
        <i/>
        <sz val="12"/>
        <color theme="1"/>
        <rFont val="Times New Roman"/>
        <family val="1"/>
      </rPr>
      <t>(H : 49,6 % ; F : 50,4 %)</t>
    </r>
  </si>
  <si>
    <r>
      <t>109 276 265</t>
    </r>
    <r>
      <rPr>
        <sz val="12"/>
        <color theme="1"/>
        <rFont val="Times New Roman"/>
        <family val="1"/>
      </rPr>
      <t xml:space="preserve"> </t>
    </r>
    <r>
      <rPr>
        <i/>
        <sz val="12"/>
        <color theme="1"/>
        <rFont val="Times New Roman"/>
        <family val="1"/>
      </rPr>
      <t>(H : 49,6 % ; F : 50,4 %)</t>
    </r>
  </si>
  <si>
    <t>INS/RDC : Annuaires statistiques, projections démographiques, MICS-Palu 2017-2018 et EDS-RDC III 2023-2024 ; Banque mondiale : estimations annuelles de population.</t>
  </si>
  <si>
    <t>La population totale annuelle constitue le dénominateur. La désagrégation par sexe est exprimée en proportion de la population totale, conformément aux structures démographiques observées dans les sources nationales et les projections disponibles.</t>
  </si>
  <si>
    <t>INS/RDC : Annuaires statistiques et projections démographiques ; MICS ; EDS-RDC III ; Banque mondiale/WDI et projections démographiques des Nations Unies</t>
  </si>
  <si>
    <t>La population des 0–14 ans est estimée à partir de la structure par âge de la population. La désagrégation par sexe est présentée en proportions afin de conserver la cohérence avec la population totale. Les proportions doivent être harmonisées avec les projections démographiques nationales retenues par l’INS.</t>
  </si>
  <si>
    <r>
      <t>45,98 %</t>
    </r>
    <r>
      <rPr>
        <sz val="12"/>
        <color theme="1"/>
        <rFont val="Times New Roman"/>
        <family val="1"/>
      </rPr>
      <t xml:space="preserve"> de la population </t>
    </r>
    <r>
      <rPr>
        <i/>
        <sz val="12"/>
        <color theme="1"/>
        <rFont val="Times New Roman"/>
        <family val="1"/>
      </rPr>
      <t>(G ≈ 50,1 % ; F ≈ 49,9 %)</t>
    </r>
  </si>
  <si>
    <r>
      <t>46,05 %</t>
    </r>
    <r>
      <rPr>
        <sz val="12"/>
        <color theme="1"/>
        <rFont val="Times New Roman"/>
        <family val="1"/>
      </rPr>
      <t xml:space="preserve"> </t>
    </r>
    <r>
      <rPr>
        <i/>
        <sz val="12"/>
        <color theme="1"/>
        <rFont val="Times New Roman"/>
        <family val="1"/>
      </rPr>
      <t>(G≈ 50,1 % ; F ≈ 49,9 %)</t>
    </r>
  </si>
  <si>
    <r>
      <t>46,09 %</t>
    </r>
    <r>
      <rPr>
        <sz val="12"/>
        <color theme="1"/>
        <rFont val="Times New Roman"/>
        <family val="1"/>
      </rPr>
      <t xml:space="preserve"> </t>
    </r>
    <r>
      <rPr>
        <i/>
        <sz val="12"/>
        <color theme="1"/>
        <rFont val="Times New Roman"/>
        <family val="1"/>
      </rPr>
      <t>(G≈ 50,1 % ; F ≈ 49,9 %)</t>
    </r>
  </si>
  <si>
    <r>
      <t>46,11 %</t>
    </r>
    <r>
      <rPr>
        <sz val="12"/>
        <color theme="1"/>
        <rFont val="Times New Roman"/>
        <family val="1"/>
      </rPr>
      <t xml:space="preserve"> </t>
    </r>
    <r>
      <rPr>
        <i/>
        <sz val="12"/>
        <color theme="1"/>
        <rFont val="Times New Roman"/>
        <family val="1"/>
      </rPr>
      <t>(G≈ 50,1 % ; F ≈ 49,9 %)</t>
    </r>
  </si>
  <si>
    <r>
      <t>46,03 %</t>
    </r>
    <r>
      <rPr>
        <sz val="12"/>
        <color theme="1"/>
        <rFont val="Times New Roman"/>
        <family val="1"/>
      </rPr>
      <t xml:space="preserve"> </t>
    </r>
    <r>
      <rPr>
        <i/>
        <sz val="12"/>
        <color theme="1"/>
        <rFont val="Times New Roman"/>
        <family val="1"/>
      </rPr>
      <t>(G ≈ 50,1 % ; F ≈ 49,9 %)</t>
    </r>
  </si>
  <si>
    <r>
      <t>≈ 52,5 %</t>
    </r>
    <r>
      <rPr>
        <sz val="12"/>
        <color theme="1"/>
        <rFont val="Times New Roman"/>
        <family val="1"/>
      </rPr>
      <t xml:space="preserve"> </t>
    </r>
    <r>
      <rPr>
        <i/>
        <sz val="12"/>
        <color theme="1"/>
        <rFont val="Times New Roman"/>
        <family val="1"/>
      </rPr>
      <t>(H ≈ 50,1 % ; F ≈ 49,9 %)</t>
    </r>
  </si>
  <si>
    <r>
      <t>≈ 52,4 %</t>
    </r>
    <r>
      <rPr>
        <sz val="12"/>
        <color theme="1"/>
        <rFont val="Times New Roman"/>
        <family val="1"/>
      </rPr>
      <t xml:space="preserve"> </t>
    </r>
    <r>
      <rPr>
        <i/>
        <sz val="12"/>
        <color theme="1"/>
        <rFont val="Times New Roman"/>
        <family val="1"/>
      </rPr>
      <t>(H ≈ 50,1 % ; F ≈ 49,9 %)</t>
    </r>
  </si>
  <si>
    <r>
      <t>≈ 52,3 %</t>
    </r>
    <r>
      <rPr>
        <sz val="12"/>
        <color theme="1"/>
        <rFont val="Times New Roman"/>
        <family val="1"/>
      </rPr>
      <t xml:space="preserve"> </t>
    </r>
    <r>
      <rPr>
        <i/>
        <sz val="12"/>
        <color theme="1"/>
        <rFont val="Times New Roman"/>
        <family val="1"/>
      </rPr>
      <t>(H ≈ 50,1 % ; F ≈ 49,9 %)</t>
    </r>
  </si>
  <si>
    <r>
      <t>≈ 52,2 %</t>
    </r>
    <r>
      <rPr>
        <sz val="12"/>
        <color theme="1"/>
        <rFont val="Times New Roman"/>
        <family val="1"/>
      </rPr>
      <t xml:space="preserve"> </t>
    </r>
    <r>
      <rPr>
        <i/>
        <sz val="12"/>
        <color theme="1"/>
        <rFont val="Times New Roman"/>
        <family val="1"/>
      </rPr>
      <t>(H ≈ 50,1 % ; F ≈ 49,9 %)</t>
    </r>
  </si>
  <si>
    <r>
      <t>≈ 52,1 %</t>
    </r>
    <r>
      <rPr>
        <sz val="12"/>
        <color theme="1"/>
        <rFont val="Times New Roman"/>
        <family val="1"/>
      </rPr>
      <t xml:space="preserve"> </t>
    </r>
    <r>
      <rPr>
        <i/>
        <sz val="12"/>
        <color theme="1"/>
        <rFont val="Times New Roman"/>
        <family val="1"/>
      </rPr>
      <t>(H ≈ 50,1 % ; F ≈ 49,9 %)</t>
    </r>
  </si>
  <si>
    <t>INS/RDC : Annuaires statistiques et projections démographiques ; MICS ; EDS-RDC III ; Banque mondiale/WDI ; Nations Unies, WPP 2024</t>
  </si>
  <si>
    <t>La population des 0–17 ans constitue une variante du dénominateur « enfants ». Les proportions par sexe doivent être harmonisées avec les projections démographiques nationales et la structure par âge et sexe issue du WPP.</t>
  </si>
  <si>
    <r>
      <t xml:space="preserve">719 335 </t>
    </r>
    <r>
      <rPr>
        <i/>
        <sz val="12"/>
        <color theme="1"/>
        <rFont val="Times New Roman"/>
        <family val="1"/>
      </rPr>
      <t>(H ≈ 48,47% ; F≈51,83%)</t>
    </r>
  </si>
  <si>
    <t>INS/RDC 2020: Annuaires statistiques</t>
  </si>
  <si>
    <t>Pour l’année 2020, les données sont disponibles dans l’Annuaire statistique de la RDC, à travers la rubrique « Mouvements de la population – Naissances ». Les données pour les autres années (2019, 2021, 2022, 2023 et 2024) ne sont pas disponibles dans les sources consultées.</t>
  </si>
  <si>
    <r>
      <t>4,3 %</t>
    </r>
    <r>
      <rPr>
        <sz val="12"/>
        <color theme="1"/>
        <rFont val="Times New Roman"/>
        <family val="1"/>
      </rPr>
      <t xml:space="preserve"> </t>
    </r>
    <r>
      <rPr>
        <i/>
        <sz val="12"/>
        <color theme="1"/>
        <rFont val="Times New Roman"/>
        <family val="1"/>
      </rPr>
      <t>(H : 46,0 % ; F : 54,0 %)</t>
    </r>
  </si>
  <si>
    <r>
      <t>4,4 %</t>
    </r>
    <r>
      <rPr>
        <sz val="12"/>
        <color theme="1"/>
        <rFont val="Times New Roman"/>
        <family val="1"/>
      </rPr>
      <t xml:space="preserve"> </t>
    </r>
    <r>
      <rPr>
        <i/>
        <sz val="12"/>
        <color theme="1"/>
        <rFont val="Times New Roman"/>
        <family val="1"/>
      </rPr>
      <t>(H : 46,0 % ; F : 54,0 %)</t>
    </r>
  </si>
  <si>
    <r>
      <t>4,5 %</t>
    </r>
    <r>
      <rPr>
        <sz val="12"/>
        <color theme="1"/>
        <rFont val="Times New Roman"/>
        <family val="1"/>
      </rPr>
      <t xml:space="preserve"> </t>
    </r>
    <r>
      <rPr>
        <i/>
        <sz val="12"/>
        <color theme="1"/>
        <rFont val="Times New Roman"/>
        <family val="1"/>
      </rPr>
      <t>(H : 46,0 % ; F : 54,0 %)</t>
    </r>
  </si>
  <si>
    <r>
      <t>4,6 %</t>
    </r>
    <r>
      <rPr>
        <sz val="12"/>
        <color theme="1"/>
        <rFont val="Times New Roman"/>
        <family val="1"/>
      </rPr>
      <t xml:space="preserve"> </t>
    </r>
    <r>
      <rPr>
        <i/>
        <sz val="12"/>
        <color theme="1"/>
        <rFont val="Times New Roman"/>
        <family val="1"/>
      </rPr>
      <t>(H : 46,0 % ; F : 54,0 %)</t>
    </r>
  </si>
  <si>
    <r>
      <t>4,7 %</t>
    </r>
    <r>
      <rPr>
        <sz val="12"/>
        <color theme="1"/>
        <rFont val="Times New Roman"/>
        <family val="1"/>
      </rPr>
      <t xml:space="preserve"> </t>
    </r>
    <r>
      <rPr>
        <i/>
        <sz val="12"/>
        <color theme="1"/>
        <rFont val="Times New Roman"/>
        <family val="1"/>
      </rPr>
      <t>(H : 46,0 % ; F : 54,0 %)</t>
    </r>
  </si>
  <si>
    <r>
      <t>4,8 %</t>
    </r>
    <r>
      <rPr>
        <sz val="12"/>
        <color theme="1"/>
        <rFont val="Times New Roman"/>
        <family val="1"/>
      </rPr>
      <t xml:space="preserve"> </t>
    </r>
    <r>
      <rPr>
        <i/>
        <sz val="12"/>
        <color theme="1"/>
        <rFont val="Times New Roman"/>
        <family val="1"/>
      </rPr>
      <t>(H : 46,0 % ; F : 54,0 %)</t>
    </r>
  </si>
  <si>
    <t>INS : projections démographiques et Annuaires statistiques ; Banque mondiale / Nations Unies (WPP)</t>
  </si>
  <si>
    <t>La population de 60 ans et plus est estimée à partir de la structure par âge de la population. La désagrégation par sexe montre une proportion plus élevée de femmes parmi les personnes âgées. Les valeurs doivent être harmonisées avec les projections démographiques officielles retenues par l’INS.</t>
  </si>
  <si>
    <r>
      <t>2,8 %</t>
    </r>
    <r>
      <rPr>
        <sz val="12"/>
        <color theme="1"/>
        <rFont val="Times New Roman"/>
        <family val="1"/>
      </rPr>
      <t xml:space="preserve"> </t>
    </r>
    <r>
      <rPr>
        <i/>
        <sz val="12"/>
        <color theme="1"/>
        <rFont val="Times New Roman"/>
        <family val="1"/>
      </rPr>
      <t>(H : 44,0 % ; F : 56,0 %)</t>
    </r>
  </si>
  <si>
    <r>
      <t>2,9 %</t>
    </r>
    <r>
      <rPr>
        <sz val="12"/>
        <color theme="1"/>
        <rFont val="Times New Roman"/>
        <family val="1"/>
      </rPr>
      <t xml:space="preserve"> </t>
    </r>
    <r>
      <rPr>
        <i/>
        <sz val="12"/>
        <color theme="1"/>
        <rFont val="Times New Roman"/>
        <family val="1"/>
      </rPr>
      <t>(H : 44,0 % ; F : 56,0 %)</t>
    </r>
  </si>
  <si>
    <r>
      <t>3,0 %</t>
    </r>
    <r>
      <rPr>
        <sz val="12"/>
        <color theme="1"/>
        <rFont val="Times New Roman"/>
        <family val="1"/>
      </rPr>
      <t xml:space="preserve"> </t>
    </r>
    <r>
      <rPr>
        <i/>
        <sz val="12"/>
        <color theme="1"/>
        <rFont val="Times New Roman"/>
        <family val="1"/>
      </rPr>
      <t>(H : 44,0 % ; F : 56,0 %)</t>
    </r>
  </si>
  <si>
    <r>
      <t>3,1 %</t>
    </r>
    <r>
      <rPr>
        <sz val="12"/>
        <color theme="1"/>
        <rFont val="Times New Roman"/>
        <family val="1"/>
      </rPr>
      <t xml:space="preserve"> </t>
    </r>
    <r>
      <rPr>
        <i/>
        <sz val="12"/>
        <color theme="1"/>
        <rFont val="Times New Roman"/>
        <family val="1"/>
      </rPr>
      <t>(H : 44,0 % ; F : 56,0 %)</t>
    </r>
  </si>
  <si>
    <r>
      <t>3,2 %</t>
    </r>
    <r>
      <rPr>
        <sz val="12"/>
        <color theme="1"/>
        <rFont val="Times New Roman"/>
        <family val="1"/>
      </rPr>
      <t xml:space="preserve"> </t>
    </r>
    <r>
      <rPr>
        <i/>
        <sz val="12"/>
        <color theme="1"/>
        <rFont val="Times New Roman"/>
        <family val="1"/>
      </rPr>
      <t>(H : 44,0 % ; F : 56,0 %)</t>
    </r>
  </si>
  <si>
    <r>
      <t>3,3 %</t>
    </r>
    <r>
      <rPr>
        <sz val="12"/>
        <color theme="1"/>
        <rFont val="Times New Roman"/>
        <family val="1"/>
      </rPr>
      <t xml:space="preserve"> </t>
    </r>
    <r>
      <rPr>
        <i/>
        <sz val="12"/>
        <color theme="1"/>
        <rFont val="Times New Roman"/>
        <family val="1"/>
      </rPr>
      <t>(H : 44,0 % ; F : 56,0 %)</t>
    </r>
  </si>
  <si>
    <t>La population de 65 ans et plus est estimée à partir de la structure par âge de la population. La désagrégation par sexe est nécessaire pour tenir compte de l'âge légal différencié de la CNSSAP. Les femmes représentent généralement une proportion plus importante de la population âgée.</t>
  </si>
  <si>
    <r>
      <t>≈ 54,0 %</t>
    </r>
    <r>
      <rPr>
        <sz val="12"/>
        <color theme="1"/>
        <rFont val="Times New Roman"/>
        <family val="1"/>
      </rPr>
      <t xml:space="preserve"> </t>
    </r>
    <r>
      <rPr>
        <i/>
        <sz val="12"/>
        <color theme="1"/>
        <rFont val="Times New Roman"/>
        <family val="1"/>
      </rPr>
      <t>(H : 50,0 % ; F : 50,0 %)</t>
    </r>
  </si>
  <si>
    <r>
      <t>≈ 53,8 %</t>
    </r>
    <r>
      <rPr>
        <sz val="12"/>
        <color theme="1"/>
        <rFont val="Times New Roman"/>
        <family val="1"/>
      </rPr>
      <t xml:space="preserve"> </t>
    </r>
    <r>
      <rPr>
        <i/>
        <sz val="12"/>
        <color theme="1"/>
        <rFont val="Times New Roman"/>
        <family val="1"/>
      </rPr>
      <t>(H : 50,0 % ; F : 50,0 %)</t>
    </r>
  </si>
  <si>
    <r>
      <t>≈ 53,6 %</t>
    </r>
    <r>
      <rPr>
        <sz val="12"/>
        <color theme="1"/>
        <rFont val="Times New Roman"/>
        <family val="1"/>
      </rPr>
      <t xml:space="preserve"> </t>
    </r>
    <r>
      <rPr>
        <i/>
        <sz val="12"/>
        <color theme="1"/>
        <rFont val="Times New Roman"/>
        <family val="1"/>
      </rPr>
      <t>(H : 50,0 % ; F : 50,0 %)</t>
    </r>
  </si>
  <si>
    <r>
      <t>≈ 53,4 %</t>
    </r>
    <r>
      <rPr>
        <sz val="12"/>
        <color theme="1"/>
        <rFont val="Times New Roman"/>
        <family val="1"/>
      </rPr>
      <t xml:space="preserve"> </t>
    </r>
    <r>
      <rPr>
        <i/>
        <sz val="12"/>
        <color theme="1"/>
        <rFont val="Times New Roman"/>
        <family val="1"/>
      </rPr>
      <t>(H : 50,0 % ; F : 50,0 %)</t>
    </r>
  </si>
  <si>
    <r>
      <t>≈ 53,2 %</t>
    </r>
    <r>
      <rPr>
        <sz val="12"/>
        <color theme="1"/>
        <rFont val="Times New Roman"/>
        <family val="1"/>
      </rPr>
      <t xml:space="preserve"> </t>
    </r>
    <r>
      <rPr>
        <i/>
        <sz val="12"/>
        <color theme="1"/>
        <rFont val="Times New Roman"/>
        <family val="1"/>
      </rPr>
      <t>(H : 50,0 % ; F : 50,0 %)</t>
    </r>
  </si>
  <si>
    <r>
      <t>≈ 53,0 %</t>
    </r>
    <r>
      <rPr>
        <sz val="12"/>
        <color theme="1"/>
        <rFont val="Times New Roman"/>
        <family val="1"/>
      </rPr>
      <t xml:space="preserve"> </t>
    </r>
    <r>
      <rPr>
        <i/>
        <sz val="12"/>
        <color theme="1"/>
        <rFont val="Times New Roman"/>
        <family val="1"/>
      </rPr>
      <t>(H : 50,0 % ; F : 50,0 %)</t>
    </r>
  </si>
  <si>
    <t>INS : Annuaires statistiques, projections démographiques ; enquêtes MICS/EDS ; Banque mondiale / Nations Unies (WPP)</t>
  </si>
  <si>
    <t>Pour les sous-indicateurs AT/MP et retraite, le dénominateur doit être défini conformément à la population de référence retenue par l'OIT. La désagrégation par sexe est nécessaire. Les proportions doivent être harmonisées avec les données démographiques et les enquêtes nationales disponibles.</t>
  </si>
  <si>
    <t>H : 4,6 % ; F : 3,3 %</t>
  </si>
  <si>
    <t>H : 4,7 % ; F : 3,4 %</t>
  </si>
  <si>
    <t>H : 4,8 % ; F : 3,5 %</t>
  </si>
  <si>
    <t>H : 4,9 % ; F : 3,5 %</t>
  </si>
  <si>
    <t>H : 5,1 % ; F : 3,6 %</t>
  </si>
  <si>
    <t>H : 5,2 % ; F : 3,6 %</t>
  </si>
  <si>
    <t>Le taux de chômage est utilisé comme mesure de référence. Les données sont des estimations modélisées du BIT/ILOSTAT. En 2024, le taux de chômage est de 5,2 % chez les hommes et de 3,6 % chez les femmes.</t>
  </si>
  <si>
    <t>Banque mondiale / ILOSTAT, ECVM/MICS/ANS</t>
  </si>
  <si>
    <t>ND</t>
  </si>
  <si>
    <t>INS : MICS, EDS-RDC III, Annuaires statistiques ; sources administratives spécialisées ; estimations disponibles sur le handicap</t>
  </si>
  <si>
    <t>Les données annuelles sur la population en situation de handicap grave, désagrégées par sexe, ne sont pas disponibles pour la période 2019–2024 dans les sources statistiques consultées. Les données disponibles sur le handicap ne permettent pas de constituer une série annuelle nationale comparable selon le niveau de gravité requis.</t>
  </si>
  <si>
    <t>National</t>
  </si>
  <si>
    <t>≈ 2 414 CDF</t>
  </si>
  <si>
    <t>5 680 CDF</t>
  </si>
  <si>
    <t>INS, Enquête 1-2-3 ; INS, ECVM 2024</t>
  </si>
  <si>
    <t>Pour les années 2019 à 2023, le seuil de pauvreté de référence issu de l'Enquête 1-2-3 est utilisé. À partir de 2024, le seuil est celui de l'ECVM 2024, fixé à 5 680 CDF/personne/jour.</t>
  </si>
  <si>
    <t>Décret fixant le SMIG en RDC ; Ministère de l'Emploi et Travail</t>
  </si>
  <si>
    <t>Le SMIG est fixé à 7 075 CDF/jour depuis 2018. Pour le présenter en montant mensuel, une base conventionnelle de 26 jours de travail est retenue, soit 183 950 CDF/mois. Le montant est resté inchangé jusqu'en 2024.</t>
  </si>
  <si>
    <t>183950 CDF</t>
  </si>
  <si>
    <t>À reprendre de la série INS</t>
  </si>
  <si>
    <t>INS – Indice national des prix à la consommation des ménages</t>
  </si>
  <si>
    <t>Le taux d’inflation annuel est utilisé comme indicateur de l’évolution du niveau général des prix et comme référence pour apprécier l’évolution réelle des prestations sociales. En 2020, 2021, 2022, 2023 et 2024, les taux sont respectivement de 15,8 %, 5,3 %, 13,1 %, 23,8 % et 11,7 %. Les données sont issues de l’IPC national publié par l’INS.</t>
  </si>
  <si>
    <t>Banque mondiale / ILOSTAT – estimations modélisées du BIT</t>
  </si>
  <si>
    <t>Le taux d'emploi est obtenu comme la proportion de la population en âge de travailler qui est occupée. Il est lié au taux de chômage et au taux d'activité par la relation : taux d'emploi = taux d'activité × (1 − taux de chômage). Les valeurs présentées proviennent directement de la série emploi/population de la Banque mondiale/ILOSTAT.</t>
  </si>
  <si>
    <t>Agriculture : 45,7 % ; Industrie : ND ; Services : à agréger selon la nomenclature ECVM</t>
  </si>
  <si>
    <t>MICS-RDC 2017-2018 ; ECVM 2024, INS</t>
  </si>
  <si>
    <t>Les données du MICS 2018 et de l’ECVM 2024 sont des données d’enquête et ne permettent pas de constituer une série annuelle 2019–2024 directement comparable. Pour 2024, l’ECVM identifie l’agriculture comme principal secteur d’activité des actifs occupés (45,7 %). Les autres années sont laissées à ND en l’absence de données comparables. La désagrégation par sexe doit être reprise uniquement lorsque les tableaux d’enquête fournissent les résultats selon cette ventilation.</t>
  </si>
  <si>
    <t>Voir le ministère de la fonction publique</t>
  </si>
  <si>
    <t>Voir le ministère de la fonction publique, modernisation de l'administration et innovation du service public</t>
  </si>
  <si>
    <t>Les sources consultées ne fournissent pas une série annuelle 2019–2024 du nombre moyen d’enfants par foyer. Le MICS 2017-2018 indique une taille moyenne de ménage de 5,2 personnes et 82,2 % des ménages ayant au moins un enfant de moins de 18 ans, mais ces informations ne permettent pas de calculer directement le nombre moyen d’enfants par foyer. L’ECVM 2024 constitue la source nationale récente ; une valeur ne doit être retenue que si elle est explicitement publiée dans les tableaux de l’enquête.</t>
  </si>
  <si>
    <t>Voir ministère de la Santé publique</t>
  </si>
  <si>
    <t>Valeur ECVM 2024</t>
  </si>
  <si>
    <t>MICS-RDC 2017-2018 ; EDS-RDC 2023-2024 ; ECVM 2024, INS</t>
  </si>
  <si>
    <t>Pour 2019–2022, la taille moyenne de 5,2 personnes par ménage issue du MICS 2017-2018 est retenue. Pour 2023, la valeur de 5,3 personnes par ménage issue de l’EDS-RDC 2023-2024 est retenue. Pour 2024, la taille moyenne des ménages doit être reprise directement de l’ECVM 2024.</t>
  </si>
  <si>
    <t>Banque Centrale du Congo (BCC)</t>
  </si>
  <si>
    <t>Données non disponibles dans les sources statistiques retenues pour le présent bulletin. La Banque Centrale du Congo (BCC) est indiquée comme source de référence pour les données relatives au PIB nominal en CDF courants.</t>
  </si>
  <si>
    <t>ECVM 2024 – INS</t>
  </si>
  <si>
    <t>Les données ne sont pas disponibles pour 2019–2023 dans une source nationale comparable retenue. En 2024, selon l’ECVM, l’incidence nationale de la pauvreté monétaire est de 67,9 %, soit près de 7 personnes sur 10 vivant sous le seuil national de pauvreté.</t>
  </si>
  <si>
    <t>Données non disponibles pour 2019–2023 dans une source nationale comparable retenue. En 2024, l’indice de Gini est de 0,381, soit 38,1 %, selon l’ECVM 2024. Plus l’indice est proche de 1, plus les inégalités sont fortes ; une valeur proche de 0 traduit une plus grande égalité.</t>
  </si>
  <si>
    <t>0-14ans</t>
  </si>
  <si>
    <t>60 ans et plus</t>
  </si>
  <si>
    <t>totale population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</si>
</sst>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color rgb="FFFFFFFF"/>
      <name val="Calibri"/>
    </font>
    <font>
      <i/>
      <sz val="10"/>
      <color rgb="FF7F6000"/>
      <name val="Calibri"/>
    </font>
    <font>
      <b/>
      <sz val="12"/>
      <color rgb="FFFFFFFF"/>
      <name val="Calibri"/>
    </font>
    <font>
      <b/>
      <sz val="11"/>
      <color rgb="FFFFFFFF"/>
      <name val="Calibri"/>
    </font>
    <font>
      <sz val="10"/>
      <color rgb="FF000000"/>
      <name val="Calibri"/>
    </font>
    <font>
      <b/>
      <sz val="10"/>
      <color rgb="FF000000"/>
      <name val="Calibri"/>
    </font>
    <font>
      <sz val="10"/>
      <name val="Calibri"/>
    </font>
    <font>
      <b/>
      <sz val="13"/>
      <color rgb="FFFFFFFF"/>
      <name val="Calibri"/>
    </font>
    <font>
      <b/>
      <sz val="10"/>
      <color rgb="FF1F3864"/>
      <name val="Calibri"/>
    </font>
    <font>
      <b/>
      <sz val="10"/>
      <name val="Calibri"/>
    </font>
    <font>
      <b/>
      <sz val="11"/>
      <color theme="1"/>
      <name val="Calibri"/>
      <family val="2"/>
      <scheme val="minor"/>
    </font>
    <font>
      <b/>
      <sz val="12"/>
      <color theme="1"/>
      <name val="Times New Roman"/>
      <family val="1"/>
    </font>
    <font>
      <sz val="12"/>
      <color theme="1"/>
      <name val="Times New Roman"/>
      <family val="1"/>
    </font>
    <font>
      <i/>
      <sz val="12"/>
      <color theme="1"/>
      <name val="Times New Roman"/>
      <family val="1"/>
    </font>
    <font>
      <sz val="10"/>
      <name val="Calibri"/>
      <family val="2"/>
    </font>
    <font>
      <b/>
      <sz val="10"/>
      <color rgb="FF000000"/>
      <name val="Calibri"/>
      <family val="2"/>
    </font>
  </fonts>
  <fills count="10">
    <fill>
      <patternFill patternType="none"/>
    </fill>
    <fill>
      <patternFill patternType="gray125"/>
    </fill>
    <fill>
      <patternFill patternType="solid">
        <fgColor rgb="FF1F3864"/>
      </patternFill>
    </fill>
    <fill>
      <patternFill patternType="solid">
        <fgColor rgb="FFFFF2CC"/>
      </patternFill>
    </fill>
    <fill>
      <patternFill patternType="solid">
        <fgColor rgb="FFC00000"/>
      </patternFill>
    </fill>
    <fill>
      <patternFill patternType="solid">
        <fgColor rgb="FFFFFFCC"/>
      </patternFill>
    </fill>
    <fill>
      <patternFill patternType="solid">
        <fgColor rgb="FFEEF2F8"/>
      </patternFill>
    </fill>
    <fill>
      <patternFill patternType="solid">
        <fgColor rgb="FFE07820"/>
      </patternFill>
    </fill>
    <fill>
      <patternFill patternType="solid">
        <fgColor rgb="FF375623"/>
      </patternFill>
    </fill>
    <fill>
      <patternFill patternType="solid">
        <fgColor theme="0" tint="-0.34998626667073579"/>
        <bgColor indexed="64"/>
      </patternFill>
    </fill>
  </fills>
  <borders count="5">
    <border>
      <left/>
      <right/>
      <top/>
      <bottom/>
      <diagonal/>
    </border>
    <border>
      <left style="thin">
        <color rgb="FFAAAAAA"/>
      </left>
      <right style="thin">
        <color rgb="FFAAAAAA"/>
      </right>
      <top style="thin">
        <color rgb="FFAAAAAA"/>
      </top>
      <bottom style="thin">
        <color rgb="FFAAAAAA"/>
      </bottom>
      <diagonal/>
    </border>
    <border>
      <left style="thin">
        <color rgb="FF999999"/>
      </left>
      <right style="thin">
        <color rgb="FF999999"/>
      </right>
      <top style="thin">
        <color rgb="FF999999"/>
      </top>
      <bottom style="dashed">
        <color rgb="FF99999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4" fillId="2" borderId="1" xfId="0" applyFont="1" applyFill="1" applyBorder="1" applyAlignment="1">
      <alignment horizontal="left"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5" borderId="2" xfId="0" applyFont="1" applyFill="1" applyBorder="1" applyAlignment="1">
      <alignment horizontal="left"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9" fillId="0" borderId="0" xfId="0" applyFont="1"/>
    <xf numFmtId="0" fontId="10" fillId="0" borderId="0" xfId="0" applyFont="1" applyAlignment="1">
      <alignment vertical="top" wrapText="1"/>
    </xf>
    <xf numFmtId="0" fontId="7" fillId="0" borderId="0" xfId="0" applyFont="1" applyAlignment="1">
      <alignment vertical="top" wrapText="1"/>
    </xf>
    <xf numFmtId="0" fontId="9" fillId="3" borderId="0" xfId="0" applyFont="1" applyFill="1"/>
    <xf numFmtId="0" fontId="7" fillId="3" borderId="0" xfId="0" applyFont="1" applyFill="1" applyAlignment="1">
      <alignment vertical="top" wrapText="1"/>
    </xf>
    <xf numFmtId="0" fontId="9" fillId="0" borderId="0" xfId="0" applyFont="1" applyAlignment="1">
      <alignment vertical="center"/>
    </xf>
    <xf numFmtId="0" fontId="7" fillId="9" borderId="2" xfId="0" applyFont="1" applyFill="1" applyBorder="1" applyAlignment="1">
      <alignment horizontal="left" vertical="top" wrapText="1"/>
    </xf>
    <xf numFmtId="0" fontId="12" fillId="0" borderId="3" xfId="0" applyFont="1" applyBorder="1" applyAlignment="1">
      <alignment vertical="center" wrapText="1"/>
    </xf>
    <xf numFmtId="0" fontId="12" fillId="0" borderId="4" xfId="0" applyFont="1" applyBorder="1" applyAlignment="1">
      <alignment vertical="center" wrapText="1"/>
    </xf>
    <xf numFmtId="0" fontId="13" fillId="0" borderId="4" xfId="0" applyFont="1" applyBorder="1" applyAlignment="1">
      <alignment vertical="center" wrapText="1"/>
    </xf>
    <xf numFmtId="0" fontId="13" fillId="0" borderId="3" xfId="0" applyFont="1" applyBorder="1" applyAlignment="1">
      <alignment vertical="center" wrapText="1"/>
    </xf>
    <xf numFmtId="0" fontId="15" fillId="5" borderId="2" xfId="0" applyFont="1" applyFill="1" applyBorder="1" applyAlignment="1">
      <alignment horizontal="left" vertical="top" wrapText="1"/>
    </xf>
    <xf numFmtId="0" fontId="16" fillId="0" borderId="1" xfId="0" applyFont="1" applyBorder="1" applyAlignment="1">
      <alignment horizontal="left" vertical="top" wrapText="1"/>
    </xf>
    <xf numFmtId="3" fontId="12" fillId="0" borderId="4" xfId="0" applyNumberFormat="1" applyFont="1" applyBorder="1" applyAlignment="1">
      <alignment vertical="center" wrapText="1"/>
    </xf>
    <xf numFmtId="10" fontId="12" fillId="0" borderId="4" xfId="0" applyNumberFormat="1" applyFont="1" applyBorder="1" applyAlignment="1">
      <alignment vertical="center" wrapText="1"/>
    </xf>
    <xf numFmtId="10" fontId="12" fillId="0" borderId="3" xfId="0" applyNumberFormat="1"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3" fillId="8" borderId="0" xfId="0" applyFont="1" applyFill="1" applyAlignment="1">
      <alignment horizontal="left" vertical="center"/>
    </xf>
    <xf numFmtId="0" fontId="1" fillId="2" borderId="0" xfId="0" applyFont="1" applyFill="1" applyAlignment="1">
      <alignment horizontal="center"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xf>
    <xf numFmtId="0" fontId="3" fillId="7" borderId="0" xfId="0" applyFont="1" applyFill="1" applyAlignment="1">
      <alignment horizontal="left" vertical="center"/>
    </xf>
    <xf numFmtId="0" fontId="8"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workbookViewId="0">
      <selection activeCell="B21" sqref="B21"/>
    </sheetView>
  </sheetViews>
  <sheetFormatPr defaultColWidth="9.109375" defaultRowHeight="14.4" x14ac:dyDescent="0.3"/>
  <cols>
    <col min="1" max="1" width="20" customWidth="1"/>
    <col min="2" max="2" width="80" customWidth="1"/>
  </cols>
  <sheetData>
    <row r="1" spans="1:2" ht="24" customHeight="1" x14ac:dyDescent="0.3">
      <c r="A1" s="30" t="s">
        <v>85</v>
      </c>
      <c r="B1" s="30"/>
    </row>
    <row r="3" spans="1:2" ht="17.7" customHeight="1" x14ac:dyDescent="0.3">
      <c r="A3" s="7" t="s">
        <v>86</v>
      </c>
      <c r="B3" s="8" t="s">
        <v>87</v>
      </c>
    </row>
    <row r="5" spans="1:2" ht="17.7" customHeight="1" x14ac:dyDescent="0.3">
      <c r="A5" s="7" t="s">
        <v>88</v>
      </c>
      <c r="B5" s="9" t="s">
        <v>89</v>
      </c>
    </row>
    <row r="7" spans="1:2" ht="17.7" customHeight="1" x14ac:dyDescent="0.3">
      <c r="A7" s="7" t="s">
        <v>90</v>
      </c>
      <c r="B7" s="9" t="s">
        <v>91</v>
      </c>
    </row>
    <row r="9" spans="1:2" ht="17.7" customHeight="1" x14ac:dyDescent="0.3">
      <c r="A9" s="7" t="s">
        <v>92</v>
      </c>
      <c r="B9" s="9" t="s">
        <v>93</v>
      </c>
    </row>
    <row r="11" spans="1:2" ht="48" customHeight="1" x14ac:dyDescent="0.3">
      <c r="A11" s="12" t="s">
        <v>94</v>
      </c>
      <c r="B11" s="9" t="s">
        <v>95</v>
      </c>
    </row>
    <row r="13" spans="1:2" ht="17.7" customHeight="1" x14ac:dyDescent="0.3">
      <c r="A13" s="10" t="s">
        <v>96</v>
      </c>
      <c r="B13" s="11" t="s">
        <v>97</v>
      </c>
    </row>
    <row r="15" spans="1:2" ht="17.7" customHeight="1" x14ac:dyDescent="0.3">
      <c r="A15" s="10" t="s">
        <v>98</v>
      </c>
      <c r="B15" s="11" t="s">
        <v>99</v>
      </c>
    </row>
  </sheetData>
  <mergeCells count="1">
    <mergeCell ref="A1:B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6"/>
  <sheetViews>
    <sheetView tabSelected="1" zoomScale="85" zoomScaleNormal="85" workbookViewId="0">
      <pane xSplit="4" ySplit="3" topLeftCell="E33" activePane="bottomRight" state="frozen"/>
      <selection pane="topRight"/>
      <selection pane="bottomLeft"/>
      <selection pane="bottomRight" activeCell="D46" sqref="D46"/>
    </sheetView>
  </sheetViews>
  <sheetFormatPr defaultColWidth="9.109375" defaultRowHeight="14.4" x14ac:dyDescent="0.3"/>
  <cols>
    <col min="1" max="1" width="5" customWidth="1"/>
    <col min="2" max="2" width="32" customWidth="1"/>
    <col min="3" max="3" width="36" customWidth="1"/>
    <col min="4" max="4" width="13" customWidth="1"/>
    <col min="5" max="5" width="24.6640625" customWidth="1"/>
    <col min="6" max="6" width="26.109375" customWidth="1"/>
    <col min="7" max="7" width="24.6640625" customWidth="1"/>
    <col min="8" max="8" width="24.5546875" customWidth="1"/>
    <col min="9" max="9" width="24.6640625" customWidth="1"/>
    <col min="10" max="10" width="27.109375" customWidth="1"/>
    <col min="11" max="11" width="30.44140625" customWidth="1"/>
    <col min="12" max="12" width="27.109375" customWidth="1"/>
  </cols>
  <sheetData>
    <row r="1" spans="1:12" ht="48" customHeight="1" x14ac:dyDescent="0.3">
      <c r="A1" s="26" t="s">
        <v>0</v>
      </c>
      <c r="B1" s="26"/>
      <c r="C1" s="26"/>
      <c r="D1" s="26"/>
      <c r="E1" s="26"/>
      <c r="F1" s="26"/>
      <c r="G1" s="26"/>
      <c r="H1" s="26"/>
      <c r="I1" s="26"/>
      <c r="J1" s="26"/>
      <c r="K1" s="26"/>
      <c r="L1" s="26"/>
    </row>
    <row r="2" spans="1:12" ht="28.2" customHeight="1" x14ac:dyDescent="0.3">
      <c r="A2" s="27" t="s">
        <v>1</v>
      </c>
      <c r="B2" s="27"/>
      <c r="C2" s="27"/>
      <c r="D2" s="27"/>
      <c r="E2" s="27"/>
      <c r="F2" s="27"/>
      <c r="G2" s="27"/>
      <c r="H2" s="27"/>
      <c r="I2" s="27"/>
      <c r="J2" s="27"/>
      <c r="K2" s="27"/>
      <c r="L2" s="27"/>
    </row>
    <row r="4" spans="1:12" ht="22.2" customHeight="1" x14ac:dyDescent="0.3">
      <c r="A4" s="28" t="s">
        <v>2</v>
      </c>
      <c r="B4" s="28"/>
      <c r="C4" s="28"/>
      <c r="D4" s="28"/>
      <c r="E4" s="28"/>
      <c r="F4" s="28"/>
      <c r="G4" s="28"/>
      <c r="H4" s="28"/>
      <c r="I4" s="28"/>
      <c r="J4" s="28"/>
      <c r="K4" s="28"/>
      <c r="L4" s="28"/>
    </row>
    <row r="5" spans="1:12" ht="30" customHeight="1" thickBot="1" x14ac:dyDescent="0.35">
      <c r="A5" s="1" t="s">
        <v>3</v>
      </c>
      <c r="B5" s="1" t="s">
        <v>4</v>
      </c>
      <c r="C5" s="1" t="s">
        <v>5</v>
      </c>
      <c r="D5" s="1" t="s">
        <v>6</v>
      </c>
      <c r="E5" s="1">
        <v>2019</v>
      </c>
      <c r="F5" s="1">
        <v>2020</v>
      </c>
      <c r="G5" s="1">
        <v>2021</v>
      </c>
      <c r="H5" s="1">
        <v>2022</v>
      </c>
      <c r="I5" s="1">
        <v>2023</v>
      </c>
      <c r="J5" s="1">
        <v>2024</v>
      </c>
      <c r="K5" s="1" t="s">
        <v>7</v>
      </c>
      <c r="L5" s="1" t="s">
        <v>8</v>
      </c>
    </row>
    <row r="6" spans="1:12" ht="149.25" customHeight="1" thickBot="1" x14ac:dyDescent="0.35">
      <c r="A6" s="2" t="s">
        <v>9</v>
      </c>
      <c r="B6" s="3" t="s">
        <v>10</v>
      </c>
      <c r="C6" s="2" t="s">
        <v>11</v>
      </c>
      <c r="D6" s="2" t="s">
        <v>12</v>
      </c>
      <c r="E6" s="14" t="s">
        <v>100</v>
      </c>
      <c r="F6" s="15" t="s">
        <v>101</v>
      </c>
      <c r="G6" s="15" t="s">
        <v>102</v>
      </c>
      <c r="H6" s="15" t="s">
        <v>103</v>
      </c>
      <c r="I6" s="15" t="s">
        <v>104</v>
      </c>
      <c r="J6" s="15" t="s">
        <v>105</v>
      </c>
      <c r="K6" s="15" t="s">
        <v>106</v>
      </c>
      <c r="L6" s="16" t="s">
        <v>107</v>
      </c>
    </row>
    <row r="7" spans="1:12" ht="106.5" customHeight="1" thickBot="1" x14ac:dyDescent="0.35">
      <c r="A7" s="5" t="s">
        <v>14</v>
      </c>
      <c r="B7" s="6" t="s">
        <v>15</v>
      </c>
      <c r="C7" s="5" t="s">
        <v>16</v>
      </c>
      <c r="D7" s="5" t="s">
        <v>12</v>
      </c>
      <c r="E7" s="14" t="s">
        <v>110</v>
      </c>
      <c r="F7" s="15" t="s">
        <v>111</v>
      </c>
      <c r="G7" s="15" t="s">
        <v>112</v>
      </c>
      <c r="H7" s="15" t="s">
        <v>113</v>
      </c>
      <c r="I7" s="15" t="s">
        <v>112</v>
      </c>
      <c r="J7" s="15" t="s">
        <v>114</v>
      </c>
      <c r="K7" s="15" t="s">
        <v>108</v>
      </c>
      <c r="L7" s="16" t="s">
        <v>109</v>
      </c>
    </row>
    <row r="8" spans="1:12" ht="64.5" customHeight="1" thickBot="1" x14ac:dyDescent="0.35">
      <c r="A8" s="2" t="s">
        <v>17</v>
      </c>
      <c r="B8" s="3" t="s">
        <v>18</v>
      </c>
      <c r="C8" s="2" t="s">
        <v>19</v>
      </c>
      <c r="D8" s="2" t="s">
        <v>12</v>
      </c>
      <c r="E8" s="14" t="s">
        <v>115</v>
      </c>
      <c r="F8" s="15" t="s">
        <v>115</v>
      </c>
      <c r="G8" s="15" t="s">
        <v>116</v>
      </c>
      <c r="H8" s="15" t="s">
        <v>117</v>
      </c>
      <c r="I8" s="15" t="s">
        <v>118</v>
      </c>
      <c r="J8" s="15" t="s">
        <v>119</v>
      </c>
      <c r="K8" s="15" t="s">
        <v>120</v>
      </c>
      <c r="L8" s="16" t="s">
        <v>121</v>
      </c>
    </row>
    <row r="9" spans="1:12" ht="119.25" customHeight="1" thickBot="1" x14ac:dyDescent="0.35">
      <c r="A9" s="5" t="s">
        <v>20</v>
      </c>
      <c r="B9" s="6" t="s">
        <v>21</v>
      </c>
      <c r="C9" s="5" t="s">
        <v>22</v>
      </c>
      <c r="D9" s="5" t="s">
        <v>23</v>
      </c>
      <c r="E9" s="4" t="s">
        <v>13</v>
      </c>
      <c r="F9" s="17" t="s">
        <v>122</v>
      </c>
      <c r="G9" s="4" t="s">
        <v>13</v>
      </c>
      <c r="H9" s="4" t="s">
        <v>13</v>
      </c>
      <c r="I9" s="4" t="s">
        <v>13</v>
      </c>
      <c r="J9" s="4" t="s">
        <v>13</v>
      </c>
      <c r="K9" s="18" t="s">
        <v>123</v>
      </c>
      <c r="L9" s="16" t="s">
        <v>124</v>
      </c>
    </row>
    <row r="10" spans="1:12" ht="40.200000000000003" customHeight="1" thickBot="1" x14ac:dyDescent="0.35">
      <c r="A10" s="2" t="s">
        <v>24</v>
      </c>
      <c r="B10" s="3" t="s">
        <v>25</v>
      </c>
      <c r="C10" s="2" t="s">
        <v>26</v>
      </c>
      <c r="D10" s="2" t="s">
        <v>12</v>
      </c>
      <c r="E10" s="14" t="s">
        <v>125</v>
      </c>
      <c r="F10" s="15" t="s">
        <v>126</v>
      </c>
      <c r="G10" s="15" t="s">
        <v>127</v>
      </c>
      <c r="H10" s="15" t="s">
        <v>128</v>
      </c>
      <c r="I10" s="15" t="s">
        <v>129</v>
      </c>
      <c r="J10" s="15" t="s">
        <v>130</v>
      </c>
      <c r="K10" s="15" t="s">
        <v>131</v>
      </c>
      <c r="L10" s="16" t="s">
        <v>132</v>
      </c>
    </row>
    <row r="11" spans="1:12" ht="40.200000000000003" customHeight="1" thickBot="1" x14ac:dyDescent="0.35">
      <c r="A11" s="5" t="s">
        <v>27</v>
      </c>
      <c r="B11" s="6" t="s">
        <v>28</v>
      </c>
      <c r="C11" s="5" t="s">
        <v>29</v>
      </c>
      <c r="D11" s="5" t="s">
        <v>12</v>
      </c>
      <c r="E11" s="14" t="s">
        <v>133</v>
      </c>
      <c r="F11" s="15" t="s">
        <v>134</v>
      </c>
      <c r="G11" s="15" t="s">
        <v>135</v>
      </c>
      <c r="H11" s="15" t="s">
        <v>136</v>
      </c>
      <c r="I11" s="15" t="s">
        <v>137</v>
      </c>
      <c r="J11" s="15" t="s">
        <v>138</v>
      </c>
      <c r="K11" s="15" t="s">
        <v>131</v>
      </c>
      <c r="L11" s="16" t="s">
        <v>139</v>
      </c>
    </row>
    <row r="12" spans="1:12" ht="40.200000000000003" customHeight="1" thickBot="1" x14ac:dyDescent="0.35">
      <c r="A12" s="2" t="s">
        <v>30</v>
      </c>
      <c r="B12" s="19" t="s">
        <v>31</v>
      </c>
      <c r="C12" s="2" t="s">
        <v>32</v>
      </c>
      <c r="D12" s="2" t="s">
        <v>12</v>
      </c>
      <c r="E12" s="14" t="s">
        <v>140</v>
      </c>
      <c r="F12" s="15" t="s">
        <v>141</v>
      </c>
      <c r="G12" s="15" t="s">
        <v>142</v>
      </c>
      <c r="H12" s="15" t="s">
        <v>143</v>
      </c>
      <c r="I12" s="15" t="s">
        <v>144</v>
      </c>
      <c r="J12" s="15" t="s">
        <v>145</v>
      </c>
      <c r="K12" s="15" t="s">
        <v>146</v>
      </c>
      <c r="L12" s="16" t="s">
        <v>147</v>
      </c>
    </row>
    <row r="13" spans="1:12" ht="40.200000000000003" customHeight="1" thickBot="1" x14ac:dyDescent="0.35">
      <c r="A13" s="5" t="s">
        <v>33</v>
      </c>
      <c r="B13" s="6" t="s">
        <v>34</v>
      </c>
      <c r="C13" s="5" t="s">
        <v>35</v>
      </c>
      <c r="D13" s="5" t="s">
        <v>12</v>
      </c>
      <c r="E13" s="14" t="s">
        <v>148</v>
      </c>
      <c r="F13" s="15" t="s">
        <v>149</v>
      </c>
      <c r="G13" s="15" t="s">
        <v>150</v>
      </c>
      <c r="H13" s="15" t="s">
        <v>151</v>
      </c>
      <c r="I13" s="15" t="s">
        <v>152</v>
      </c>
      <c r="J13" s="15" t="s">
        <v>153</v>
      </c>
      <c r="K13" s="15" t="s">
        <v>155</v>
      </c>
      <c r="L13" s="15" t="s">
        <v>154</v>
      </c>
    </row>
    <row r="14" spans="1:12" ht="40.200000000000003" customHeight="1" thickBot="1" x14ac:dyDescent="0.35">
      <c r="A14" s="2" t="s">
        <v>36</v>
      </c>
      <c r="B14" s="3" t="s">
        <v>37</v>
      </c>
      <c r="C14" s="2" t="s">
        <v>38</v>
      </c>
      <c r="D14" s="2" t="s">
        <v>12</v>
      </c>
      <c r="E14" s="17" t="s">
        <v>156</v>
      </c>
      <c r="F14" s="16" t="s">
        <v>156</v>
      </c>
      <c r="G14" s="16" t="s">
        <v>156</v>
      </c>
      <c r="H14" s="16" t="s">
        <v>156</v>
      </c>
      <c r="I14" s="16" t="s">
        <v>156</v>
      </c>
      <c r="J14" s="16" t="s">
        <v>156</v>
      </c>
      <c r="K14" s="15" t="s">
        <v>157</v>
      </c>
      <c r="L14" s="15" t="s">
        <v>158</v>
      </c>
    </row>
    <row r="16" spans="1:12" ht="22.2" customHeight="1" x14ac:dyDescent="0.3">
      <c r="A16" s="28" t="s">
        <v>39</v>
      </c>
      <c r="B16" s="28"/>
      <c r="C16" s="28"/>
      <c r="D16" s="28"/>
      <c r="E16" s="28"/>
      <c r="F16" s="28"/>
      <c r="G16" s="28"/>
      <c r="H16" s="28"/>
      <c r="I16" s="28"/>
      <c r="J16" s="28"/>
      <c r="K16" s="28"/>
      <c r="L16" s="28"/>
    </row>
    <row r="17" spans="1:12" ht="30" customHeight="1" thickBot="1" x14ac:dyDescent="0.35">
      <c r="A17" s="1" t="s">
        <v>3</v>
      </c>
      <c r="B17" s="1" t="s">
        <v>4</v>
      </c>
      <c r="C17" s="1" t="s">
        <v>5</v>
      </c>
      <c r="D17" s="1" t="s">
        <v>6</v>
      </c>
      <c r="E17" s="1">
        <v>2019</v>
      </c>
      <c r="F17" s="1">
        <v>2020</v>
      </c>
      <c r="G17" s="1">
        <v>2021</v>
      </c>
      <c r="H17" s="1">
        <v>2022</v>
      </c>
      <c r="I17" s="1">
        <v>2023</v>
      </c>
      <c r="J17" s="1">
        <v>2024</v>
      </c>
      <c r="K17" s="1" t="s">
        <v>7</v>
      </c>
      <c r="L17" s="1" t="s">
        <v>8</v>
      </c>
    </row>
    <row r="18" spans="1:12" ht="40.200000000000003" customHeight="1" thickBot="1" x14ac:dyDescent="0.35">
      <c r="A18" s="2" t="s">
        <v>40</v>
      </c>
      <c r="B18" s="3" t="s">
        <v>41</v>
      </c>
      <c r="C18" s="2" t="s">
        <v>42</v>
      </c>
      <c r="D18" s="14" t="s">
        <v>159</v>
      </c>
      <c r="E18" s="15" t="s">
        <v>160</v>
      </c>
      <c r="F18" s="15" t="s">
        <v>160</v>
      </c>
      <c r="G18" s="15" t="s">
        <v>160</v>
      </c>
      <c r="H18" s="15" t="s">
        <v>160</v>
      </c>
      <c r="I18" s="15" t="s">
        <v>160</v>
      </c>
      <c r="J18" s="15" t="s">
        <v>161</v>
      </c>
      <c r="K18" s="15" t="s">
        <v>162</v>
      </c>
      <c r="L18" s="15" t="s">
        <v>163</v>
      </c>
    </row>
    <row r="19" spans="1:12" ht="40.200000000000003" customHeight="1" thickBot="1" x14ac:dyDescent="0.35">
      <c r="A19" s="5" t="s">
        <v>43</v>
      </c>
      <c r="B19" s="6" t="s">
        <v>44</v>
      </c>
      <c r="C19" s="5" t="s">
        <v>45</v>
      </c>
      <c r="D19" s="17" t="s">
        <v>159</v>
      </c>
      <c r="E19" s="20" t="s">
        <v>166</v>
      </c>
      <c r="F19" s="20" t="s">
        <v>166</v>
      </c>
      <c r="G19" s="20" t="s">
        <v>166</v>
      </c>
      <c r="H19" s="20" t="s">
        <v>166</v>
      </c>
      <c r="I19" s="20" t="s">
        <v>166</v>
      </c>
      <c r="J19" s="20" t="s">
        <v>166</v>
      </c>
      <c r="K19" s="15" t="s">
        <v>164</v>
      </c>
      <c r="L19" s="15" t="s">
        <v>165</v>
      </c>
    </row>
    <row r="20" spans="1:12" ht="40.200000000000003" customHeight="1" thickBot="1" x14ac:dyDescent="0.35">
      <c r="A20" s="2" t="s">
        <v>46</v>
      </c>
      <c r="B20" s="3" t="s">
        <v>47</v>
      </c>
      <c r="C20" s="2" t="s">
        <v>48</v>
      </c>
      <c r="D20" s="2" t="s">
        <v>23</v>
      </c>
      <c r="E20" s="14" t="s">
        <v>167</v>
      </c>
      <c r="F20" s="21">
        <v>0.158</v>
      </c>
      <c r="G20" s="21">
        <v>5.2999999999999999E-2</v>
      </c>
      <c r="H20" s="21">
        <v>0.13100000000000001</v>
      </c>
      <c r="I20" s="21">
        <v>0.23799999999999999</v>
      </c>
      <c r="J20" s="21">
        <v>0.11700000000000001</v>
      </c>
      <c r="K20" s="15" t="s">
        <v>168</v>
      </c>
      <c r="L20" s="15" t="s">
        <v>169</v>
      </c>
    </row>
    <row r="22" spans="1:12" ht="22.2" customHeight="1" x14ac:dyDescent="0.3">
      <c r="A22" s="29" t="s">
        <v>49</v>
      </c>
      <c r="B22" s="29"/>
      <c r="C22" s="29"/>
      <c r="D22" s="29"/>
      <c r="E22" s="29"/>
      <c r="F22" s="29"/>
      <c r="G22" s="29"/>
      <c r="H22" s="29"/>
      <c r="I22" s="29"/>
      <c r="J22" s="29"/>
      <c r="K22" s="29"/>
      <c r="L22" s="29"/>
    </row>
    <row r="23" spans="1:12" ht="30" customHeight="1" thickBot="1" x14ac:dyDescent="0.35">
      <c r="A23" s="1" t="s">
        <v>3</v>
      </c>
      <c r="B23" s="1" t="s">
        <v>4</v>
      </c>
      <c r="C23" s="1" t="s">
        <v>5</v>
      </c>
      <c r="D23" s="1" t="s">
        <v>6</v>
      </c>
      <c r="E23" s="1">
        <v>2019</v>
      </c>
      <c r="F23" s="1">
        <v>2020</v>
      </c>
      <c r="G23" s="1">
        <v>2021</v>
      </c>
      <c r="H23" s="1">
        <v>2022</v>
      </c>
      <c r="I23" s="1">
        <v>2023</v>
      </c>
      <c r="J23" s="1">
        <v>2024</v>
      </c>
      <c r="K23" s="1" t="s">
        <v>7</v>
      </c>
      <c r="L23" s="1" t="s">
        <v>8</v>
      </c>
    </row>
    <row r="24" spans="1:12" ht="68.25" customHeight="1" thickBot="1" x14ac:dyDescent="0.35">
      <c r="A24" s="2" t="s">
        <v>50</v>
      </c>
      <c r="B24" s="3" t="s">
        <v>51</v>
      </c>
      <c r="C24" s="2" t="s">
        <v>52</v>
      </c>
      <c r="D24" s="2" t="s">
        <v>12</v>
      </c>
      <c r="E24" s="22">
        <v>0.61339999999999995</v>
      </c>
      <c r="F24" s="21">
        <v>0.60040000000000004</v>
      </c>
      <c r="G24" s="21">
        <v>0.60260000000000002</v>
      </c>
      <c r="H24" s="21">
        <v>0.61439999999999995</v>
      </c>
      <c r="I24" s="21">
        <v>0.61519999999999997</v>
      </c>
      <c r="J24" s="21">
        <v>0.61560000000000004</v>
      </c>
      <c r="K24" s="15" t="s">
        <v>170</v>
      </c>
      <c r="L24" s="15" t="s">
        <v>171</v>
      </c>
    </row>
    <row r="25" spans="1:12" ht="40.200000000000003" customHeight="1" thickBot="1" x14ac:dyDescent="0.35">
      <c r="A25" s="5" t="s">
        <v>53</v>
      </c>
      <c r="B25" s="6" t="s">
        <v>54</v>
      </c>
      <c r="C25" s="5" t="s">
        <v>55</v>
      </c>
      <c r="D25" s="5" t="s">
        <v>12</v>
      </c>
      <c r="E25" s="14" t="s">
        <v>156</v>
      </c>
      <c r="F25" s="15" t="s">
        <v>156</v>
      </c>
      <c r="G25" s="15" t="s">
        <v>156</v>
      </c>
      <c r="H25" s="15" t="s">
        <v>156</v>
      </c>
      <c r="I25" s="15" t="s">
        <v>156</v>
      </c>
      <c r="J25" s="15" t="s">
        <v>172</v>
      </c>
      <c r="K25" s="15" t="s">
        <v>173</v>
      </c>
      <c r="L25" s="15" t="s">
        <v>174</v>
      </c>
    </row>
    <row r="26" spans="1:12" ht="40.200000000000003" customHeight="1" thickBot="1" x14ac:dyDescent="0.35">
      <c r="A26" s="2" t="s">
        <v>56</v>
      </c>
      <c r="B26" s="3" t="s">
        <v>57</v>
      </c>
      <c r="C26" s="2" t="s">
        <v>58</v>
      </c>
      <c r="D26" s="2" t="s">
        <v>12</v>
      </c>
      <c r="E26" s="14" t="s">
        <v>156</v>
      </c>
      <c r="F26" s="14" t="s">
        <v>156</v>
      </c>
      <c r="G26" s="14" t="s">
        <v>156</v>
      </c>
      <c r="H26" s="14" t="s">
        <v>156</v>
      </c>
      <c r="I26" s="14" t="s">
        <v>156</v>
      </c>
      <c r="J26" s="14" t="s">
        <v>156</v>
      </c>
      <c r="K26" s="14" t="s">
        <v>156</v>
      </c>
      <c r="L26" s="14" t="s">
        <v>175</v>
      </c>
    </row>
    <row r="27" spans="1:12" ht="40.200000000000003" customHeight="1" thickBot="1" x14ac:dyDescent="0.35">
      <c r="A27" s="5" t="s">
        <v>59</v>
      </c>
      <c r="B27" s="6" t="s">
        <v>60</v>
      </c>
      <c r="C27" s="5" t="s">
        <v>61</v>
      </c>
      <c r="D27" s="5" t="s">
        <v>12</v>
      </c>
      <c r="E27" s="14" t="s">
        <v>156</v>
      </c>
      <c r="F27" s="14" t="s">
        <v>156</v>
      </c>
      <c r="G27" s="14" t="s">
        <v>156</v>
      </c>
      <c r="H27" s="14" t="s">
        <v>156</v>
      </c>
      <c r="I27" s="14" t="s">
        <v>156</v>
      </c>
      <c r="J27" s="14" t="s">
        <v>156</v>
      </c>
      <c r="K27" s="14" t="s">
        <v>156</v>
      </c>
      <c r="L27" s="14" t="s">
        <v>176</v>
      </c>
    </row>
    <row r="29" spans="1:12" ht="22.2" customHeight="1" x14ac:dyDescent="0.3">
      <c r="A29" s="25" t="s">
        <v>62</v>
      </c>
      <c r="B29" s="25"/>
      <c r="C29" s="25"/>
      <c r="D29" s="25"/>
      <c r="E29" s="25"/>
      <c r="F29" s="25"/>
      <c r="G29" s="25"/>
      <c r="H29" s="25"/>
      <c r="I29" s="25"/>
      <c r="J29" s="25"/>
      <c r="K29" s="25"/>
      <c r="L29" s="25"/>
    </row>
    <row r="30" spans="1:12" ht="30" customHeight="1" thickBot="1" x14ac:dyDescent="0.35">
      <c r="A30" s="1" t="s">
        <v>3</v>
      </c>
      <c r="B30" s="1" t="s">
        <v>4</v>
      </c>
      <c r="C30" s="1" t="s">
        <v>5</v>
      </c>
      <c r="D30" s="1" t="s">
        <v>6</v>
      </c>
      <c r="E30" s="1">
        <v>2019</v>
      </c>
      <c r="F30" s="1">
        <v>2020</v>
      </c>
      <c r="G30" s="1">
        <v>2021</v>
      </c>
      <c r="H30" s="1">
        <v>2022</v>
      </c>
      <c r="I30" s="1">
        <v>2023</v>
      </c>
      <c r="J30" s="1">
        <v>2024</v>
      </c>
      <c r="K30" s="1" t="s">
        <v>7</v>
      </c>
      <c r="L30" s="1" t="s">
        <v>8</v>
      </c>
    </row>
    <row r="31" spans="1:12" ht="40.200000000000003" customHeight="1" thickBot="1" x14ac:dyDescent="0.35">
      <c r="A31" s="2" t="s">
        <v>63</v>
      </c>
      <c r="B31" s="3" t="s">
        <v>64</v>
      </c>
      <c r="C31" s="2" t="s">
        <v>65</v>
      </c>
      <c r="D31" s="2" t="s">
        <v>12</v>
      </c>
      <c r="E31" s="23" t="s">
        <v>156</v>
      </c>
      <c r="F31" s="23" t="s">
        <v>156</v>
      </c>
      <c r="G31" s="23" t="s">
        <v>156</v>
      </c>
      <c r="H31" s="23" t="s">
        <v>156</v>
      </c>
      <c r="I31" s="23" t="s">
        <v>156</v>
      </c>
      <c r="J31" s="23" t="s">
        <v>156</v>
      </c>
      <c r="K31" s="24" t="s">
        <v>173</v>
      </c>
      <c r="L31" s="18" t="s">
        <v>178</v>
      </c>
    </row>
    <row r="32" spans="1:12" ht="40.200000000000003" customHeight="1" thickBot="1" x14ac:dyDescent="0.35">
      <c r="A32" s="5" t="s">
        <v>66</v>
      </c>
      <c r="B32" s="6" t="s">
        <v>67</v>
      </c>
      <c r="C32" s="5" t="s">
        <v>68</v>
      </c>
      <c r="D32" s="5" t="s">
        <v>23</v>
      </c>
      <c r="E32" s="23" t="s">
        <v>156</v>
      </c>
      <c r="F32" s="24" t="s">
        <v>156</v>
      </c>
      <c r="G32" s="24" t="s">
        <v>156</v>
      </c>
      <c r="H32" s="24" t="s">
        <v>156</v>
      </c>
      <c r="I32" s="24" t="s">
        <v>156</v>
      </c>
      <c r="J32" s="24" t="s">
        <v>156</v>
      </c>
      <c r="K32" s="24" t="s">
        <v>173</v>
      </c>
      <c r="L32" s="24" t="s">
        <v>177</v>
      </c>
    </row>
    <row r="33" spans="1:12" ht="40.200000000000003" customHeight="1" thickBot="1" x14ac:dyDescent="0.35">
      <c r="A33" s="2" t="s">
        <v>69</v>
      </c>
      <c r="B33" s="3" t="s">
        <v>70</v>
      </c>
      <c r="C33" s="2" t="s">
        <v>71</v>
      </c>
      <c r="D33" s="2" t="s">
        <v>23</v>
      </c>
      <c r="E33" s="14">
        <v>5.2</v>
      </c>
      <c r="F33" s="15">
        <v>5.2</v>
      </c>
      <c r="G33" s="15">
        <v>5.2</v>
      </c>
      <c r="H33" s="15">
        <v>5.2</v>
      </c>
      <c r="I33" s="15">
        <v>5.3</v>
      </c>
      <c r="J33" s="15" t="s">
        <v>179</v>
      </c>
      <c r="K33" s="15" t="s">
        <v>180</v>
      </c>
      <c r="L33" s="15" t="s">
        <v>181</v>
      </c>
    </row>
    <row r="34" spans="1:12" ht="40.200000000000003" customHeight="1" x14ac:dyDescent="0.3">
      <c r="A34" s="5" t="s">
        <v>72</v>
      </c>
      <c r="B34" s="6" t="s">
        <v>73</v>
      </c>
      <c r="C34" s="5" t="s">
        <v>74</v>
      </c>
      <c r="D34" s="5" t="s">
        <v>12</v>
      </c>
      <c r="E34" s="13" t="s">
        <v>13</v>
      </c>
      <c r="F34" s="13" t="s">
        <v>13</v>
      </c>
      <c r="G34" s="13" t="s">
        <v>13</v>
      </c>
      <c r="H34" s="13" t="s">
        <v>13</v>
      </c>
      <c r="I34" s="13" t="s">
        <v>13</v>
      </c>
      <c r="J34" s="13" t="s">
        <v>13</v>
      </c>
      <c r="K34" s="13" t="s">
        <v>13</v>
      </c>
      <c r="L34" s="13" t="s">
        <v>13</v>
      </c>
    </row>
    <row r="36" spans="1:12" ht="22.2" customHeight="1" x14ac:dyDescent="0.3">
      <c r="A36" s="25" t="s">
        <v>75</v>
      </c>
      <c r="B36" s="25"/>
      <c r="C36" s="25"/>
      <c r="D36" s="25"/>
      <c r="E36" s="25"/>
      <c r="F36" s="25"/>
      <c r="G36" s="25"/>
      <c r="H36" s="25"/>
      <c r="I36" s="25"/>
      <c r="J36" s="25"/>
      <c r="K36" s="25"/>
      <c r="L36" s="25"/>
    </row>
    <row r="37" spans="1:12" ht="30" customHeight="1" thickBot="1" x14ac:dyDescent="0.35">
      <c r="A37" s="1" t="s">
        <v>3</v>
      </c>
      <c r="B37" s="1" t="s">
        <v>4</v>
      </c>
      <c r="C37" s="1" t="s">
        <v>5</v>
      </c>
      <c r="D37" s="1" t="s">
        <v>6</v>
      </c>
      <c r="E37" s="1">
        <v>2019</v>
      </c>
      <c r="F37" s="1">
        <v>2020</v>
      </c>
      <c r="G37" s="1">
        <v>2021</v>
      </c>
      <c r="H37" s="1">
        <v>2022</v>
      </c>
      <c r="I37" s="1">
        <v>2023</v>
      </c>
      <c r="J37" s="1">
        <v>2024</v>
      </c>
      <c r="K37" s="1" t="s">
        <v>7</v>
      </c>
      <c r="L37" s="1" t="s">
        <v>8</v>
      </c>
    </row>
    <row r="38" spans="1:12" ht="40.200000000000003" customHeight="1" thickBot="1" x14ac:dyDescent="0.35">
      <c r="A38" s="2" t="s">
        <v>76</v>
      </c>
      <c r="B38" s="3" t="s">
        <v>77</v>
      </c>
      <c r="C38" s="2" t="s">
        <v>78</v>
      </c>
      <c r="D38" s="2" t="s">
        <v>23</v>
      </c>
      <c r="E38" s="14" t="s">
        <v>156</v>
      </c>
      <c r="F38" s="15" t="s">
        <v>156</v>
      </c>
      <c r="G38" s="15" t="s">
        <v>156</v>
      </c>
      <c r="H38" s="15" t="s">
        <v>156</v>
      </c>
      <c r="I38" s="15" t="s">
        <v>156</v>
      </c>
      <c r="J38" s="15" t="s">
        <v>156</v>
      </c>
      <c r="K38" s="15" t="s">
        <v>182</v>
      </c>
      <c r="L38" s="15" t="s">
        <v>183</v>
      </c>
    </row>
    <row r="39" spans="1:12" ht="40.200000000000003" customHeight="1" thickBot="1" x14ac:dyDescent="0.35">
      <c r="A39" s="5" t="s">
        <v>79</v>
      </c>
      <c r="B39" s="6" t="s">
        <v>80</v>
      </c>
      <c r="C39" s="5" t="s">
        <v>81</v>
      </c>
      <c r="D39" s="5" t="s">
        <v>23</v>
      </c>
      <c r="E39" s="14" t="s">
        <v>156</v>
      </c>
      <c r="F39" s="15" t="s">
        <v>156</v>
      </c>
      <c r="G39" s="15" t="s">
        <v>156</v>
      </c>
      <c r="H39" s="15" t="s">
        <v>156</v>
      </c>
      <c r="I39" s="15" t="s">
        <v>156</v>
      </c>
      <c r="J39" s="21">
        <v>0.67900000000000005</v>
      </c>
      <c r="K39" s="15" t="s">
        <v>184</v>
      </c>
      <c r="L39" s="15" t="s">
        <v>185</v>
      </c>
    </row>
    <row r="40" spans="1:12" ht="40.200000000000003" customHeight="1" thickBot="1" x14ac:dyDescent="0.35">
      <c r="A40" s="2" t="s">
        <v>82</v>
      </c>
      <c r="B40" s="3" t="s">
        <v>83</v>
      </c>
      <c r="C40" s="2" t="s">
        <v>84</v>
      </c>
      <c r="D40" s="2" t="s">
        <v>23</v>
      </c>
      <c r="E40" s="14" t="s">
        <v>156</v>
      </c>
      <c r="F40" s="15" t="s">
        <v>156</v>
      </c>
      <c r="G40" s="15" t="s">
        <v>156</v>
      </c>
      <c r="H40" s="15" t="s">
        <v>156</v>
      </c>
      <c r="I40" s="15" t="s">
        <v>156</v>
      </c>
      <c r="J40" s="15">
        <v>0.38100000000000001</v>
      </c>
      <c r="K40" s="15" t="s">
        <v>184</v>
      </c>
      <c r="L40" s="15" t="s">
        <v>186</v>
      </c>
    </row>
    <row r="43" spans="1:12" x14ac:dyDescent="0.3">
      <c r="D43" t="s">
        <v>188</v>
      </c>
      <c r="E43">
        <f>0.043*92947442</f>
        <v>3996740.0059999996</v>
      </c>
    </row>
    <row r="44" spans="1:12" x14ac:dyDescent="0.3">
      <c r="D44" t="s">
        <v>187</v>
      </c>
      <c r="E44">
        <f>0.4598*92947442</f>
        <v>42737233.831599995</v>
      </c>
    </row>
    <row r="45" spans="1:12" x14ac:dyDescent="0.3">
      <c r="D45" t="s">
        <v>189</v>
      </c>
      <c r="E45">
        <f>92947442</f>
        <v>92947442</v>
      </c>
    </row>
    <row r="46" spans="1:12" x14ac:dyDescent="0.3">
      <c r="E46">
        <f>E45-E44-E43</f>
        <v>46213468.162400007</v>
      </c>
    </row>
  </sheetData>
  <mergeCells count="7">
    <mergeCell ref="A29:L29"/>
    <mergeCell ref="A36:L36"/>
    <mergeCell ref="A1:L1"/>
    <mergeCell ref="A2:L2"/>
    <mergeCell ref="A4:L4"/>
    <mergeCell ref="A16:L16"/>
    <mergeCell ref="A22:L22"/>
  </mergeCells>
  <pageMargins left="0.5" right="0.5" top="0.75" bottom="0.75" header="0.3" footer="0.3"/>
  <pageSetup paperSize="9" fitToHeight="0" orientation="landscape"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 d'emploi</vt:lpstr>
      <vt:lpstr>Canevas de saisie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2026-06-26T11:22:10Z</dcterms:created>
  <dcterms:modified xsi:type="dcterms:W3CDTF">2026-09-03T08:11:07Z</dcterms:modified>
  <cp:category/>
</cp:coreProperties>
</file>